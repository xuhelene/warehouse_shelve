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匡婵娟\1号工程\AI\"/>
    </mc:Choice>
  </mc:AlternateContent>
  <bookViews>
    <workbookView windowWidth="28800" windowHeight="12375"/>
  </bookViews>
  <sheets>
    <sheet name="Sheet1" sheetId="2" r:id="rId1"/>
  </sheets>
  <externalReferences>
    <externalReference r:id="rId2"/>
  </externalReferences>
  <definedNames>
    <definedName name="_xlnm._FilterDatabase" localSheetId="0" hidden="1">Sheet1!$A$1:$W$162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<sst xmlns="http://schemas.openxmlformats.org/spreadsheetml/2006/main" count="2094" uniqueCount="403">
  <si>
    <t>序号</t>
  </si>
  <si>
    <t>所属项目</t>
  </si>
  <si>
    <t>所属客户</t>
  </si>
  <si>
    <t>编码</t>
  </si>
  <si>
    <t>货品名称</t>
  </si>
  <si>
    <t>是否套装</t>
  </si>
  <si>
    <t>规格型号</t>
  </si>
  <si>
    <t>主单位</t>
  </si>
  <si>
    <t>净重（一）kg</t>
  </si>
  <si>
    <t>体积（一）m³</t>
  </si>
  <si>
    <t>长（一）m</t>
  </si>
  <si>
    <t>宽（一）m</t>
  </si>
  <si>
    <t>高（一）m</t>
  </si>
  <si>
    <t>毛重（一）kg</t>
  </si>
  <si>
    <t>转换前单位1</t>
  </si>
  <si>
    <t>转换比</t>
  </si>
  <si>
    <t>转换后单位1</t>
  </si>
  <si>
    <t>是否订单单位1</t>
  </si>
  <si>
    <t>是否默认单位1</t>
  </si>
  <si>
    <t>转换前单位2</t>
  </si>
  <si>
    <t>转换后单位2</t>
  </si>
  <si>
    <t>托含量</t>
  </si>
  <si>
    <t>老窖城配项目</t>
  </si>
  <si>
    <t>泸特新十代（湖北）酒业有限公司</t>
  </si>
  <si>
    <t>ZGS1952008</t>
  </si>
  <si>
    <t>《莲开福运》建盏套装</t>
  </si>
  <si>
    <t>否</t>
  </si>
  <si>
    <t>1*1</t>
  </si>
  <si>
    <t>套</t>
  </si>
  <si>
    <t>不满一托，无法估算</t>
  </si>
  <si>
    <t>50023952</t>
  </si>
  <si>
    <t>1952定制分酒器</t>
  </si>
  <si>
    <t>1*120</t>
  </si>
  <si>
    <t>个</t>
  </si>
  <si>
    <t>件</t>
  </si>
  <si>
    <t>ZGS1952007</t>
  </si>
  <si>
    <t>1952龙凤筷</t>
  </si>
  <si>
    <t>1盒/件</t>
  </si>
  <si>
    <t>盒</t>
  </si>
  <si>
    <t>是</t>
  </si>
  <si>
    <t>ZGS1952006</t>
  </si>
  <si>
    <t>1952探路者户外帐篷</t>
  </si>
  <si>
    <t>1*4</t>
  </si>
  <si>
    <t>一五七三湖北商贸有限公司</t>
  </si>
  <si>
    <t>40018067</t>
  </si>
  <si>
    <t>38A1（2023版）酒五码装100ml*24</t>
  </si>
  <si>
    <t>100ml*24</t>
  </si>
  <si>
    <t>瓶</t>
  </si>
  <si>
    <t>40019024</t>
  </si>
  <si>
    <t>38C1（2025版）酒五码装250ml*12</t>
  </si>
  <si>
    <t>250ml*12</t>
  </si>
  <si>
    <t>现无商品</t>
  </si>
  <si>
    <t>40016758</t>
  </si>
  <si>
    <t>38C2（2021版）酒100ml*2*12</t>
  </si>
  <si>
    <t>100ml*2*12</t>
  </si>
  <si>
    <t>泸州涌聚酒类销售有限公司（武汉）</t>
  </si>
  <si>
    <t>40013370</t>
  </si>
  <si>
    <t>38百年泸州老窖窖龄酒30年（2017版）500ml*6</t>
  </si>
  <si>
    <t>500ml*6</t>
  </si>
  <si>
    <t>40013369</t>
  </si>
  <si>
    <t>38百年泸州老窖窖龄酒60年（2017版）500ml*6</t>
  </si>
  <si>
    <t>40016718</t>
  </si>
  <si>
    <t>38百年泸州老窖窖龄酒60年（2017版五码装）500ml*6</t>
  </si>
  <si>
    <t>40012749</t>
  </si>
  <si>
    <t>38百年泸州老窖窖龄酒90年（2017版）500ml*6</t>
  </si>
  <si>
    <t>湖北壹伍柒叁商贸有限公司(武汉）</t>
  </si>
  <si>
    <t>40017267</t>
  </si>
  <si>
    <t>38国窖1573酒（2022版品鉴用酒）485ml*4*2</t>
  </si>
  <si>
    <t>485ml*4*2</t>
  </si>
  <si>
    <t>40017057</t>
  </si>
  <si>
    <t>38国窖1573酒（2022二维码装）250ml*12</t>
  </si>
  <si>
    <t>40016745</t>
  </si>
  <si>
    <t>38国窖1573酒（2022二维码装）500ml*6</t>
  </si>
  <si>
    <t>40003560</t>
  </si>
  <si>
    <t>38国窖1573酒2010版500ml*6</t>
  </si>
  <si>
    <t>40019827</t>
  </si>
  <si>
    <t>38国窖1573酒2026阿根廷国家足球队官方纪念酒五码装100ml*12</t>
  </si>
  <si>
    <t>100ml*12</t>
  </si>
  <si>
    <t>40019826</t>
  </si>
  <si>
    <t>38国窖1573酒2026葡萄牙国家足球队官方纪念酒五码装100ml*12</t>
  </si>
  <si>
    <t>40017245</t>
  </si>
  <si>
    <t>38国窖1573酒国宝红品鉴用酒500ml*2*3</t>
  </si>
  <si>
    <t>500ml*2*3</t>
  </si>
  <si>
    <t>40018894</t>
  </si>
  <si>
    <t>38国窖1573酒美丽湖北（五码装）125ml*12</t>
  </si>
  <si>
    <t>125ml*12</t>
  </si>
  <si>
    <t>40012548</t>
  </si>
  <si>
    <t>38国窖1573酒中国品味限量版（2016）500ml*6</t>
  </si>
  <si>
    <t>40016122</t>
  </si>
  <si>
    <t>38国窖1573中国品味限量版品鉴用酒485ml*2*3</t>
  </si>
  <si>
    <t>485ml*2*3</t>
  </si>
  <si>
    <t>40011838</t>
  </si>
  <si>
    <t>38泸州老窖特曲酒·晶彩500ml*6</t>
  </si>
  <si>
    <t>40014845</t>
  </si>
  <si>
    <t>38泸州老窖特曲酒老字号（2018版）A二维码装500ml*6</t>
  </si>
  <si>
    <t>40015845</t>
  </si>
  <si>
    <t>38泸州老窖特曲酒老字号（2018版）品鉴用酒二维码装500ml*4*2</t>
  </si>
  <si>
    <t>500ml*4*2</t>
  </si>
  <si>
    <t>40019018</t>
  </si>
  <si>
    <t>38泸州老窖特曲酒老字号（2018版）品鉴用酒五码装230ml*12</t>
  </si>
  <si>
    <t>230ml*12</t>
  </si>
  <si>
    <t>40014619</t>
  </si>
  <si>
    <t>42/2018测试3号100ml*24</t>
  </si>
  <si>
    <t>100ML*24</t>
  </si>
  <si>
    <t>40016650</t>
  </si>
  <si>
    <t>42泸州老窖特曲酒老字号（2018版）A二维码装500ml*6</t>
  </si>
  <si>
    <t>40015844</t>
  </si>
  <si>
    <t>42泸州老窖特曲酒老字号（2018版）品鉴用酒二维码装500ml*4*2</t>
  </si>
  <si>
    <t>40013371</t>
  </si>
  <si>
    <t>43百年泸州老窖窖龄酒30年（2017版）500ml*6</t>
  </si>
  <si>
    <t>40016715</t>
  </si>
  <si>
    <t>43百年泸州老窖窖龄酒30年（2017版五码装）500ml*6</t>
  </si>
  <si>
    <t>40016145</t>
  </si>
  <si>
    <t>43百年泸州老窖窖龄酒60年（2017版盖内码装）500ml*6</t>
  </si>
  <si>
    <t>40013620</t>
  </si>
  <si>
    <t>43百年泸州老窖窖龄酒60年（2017版品鉴用酒）485ml*4*2</t>
  </si>
  <si>
    <t>40016719</t>
  </si>
  <si>
    <t>43百年泸州老窖窖龄酒60年（2017版五码装）500ml*6</t>
  </si>
  <si>
    <t>40016735</t>
  </si>
  <si>
    <t>43泸州老窖1952浓香型白酒（二维码装）500ml*6</t>
  </si>
  <si>
    <t>10999</t>
  </si>
  <si>
    <t>450周年纪念酒定制礼盒/3个</t>
  </si>
  <si>
    <t>1*3</t>
  </si>
  <si>
    <t>40014694</t>
  </si>
  <si>
    <t>45泸州老窖特曲酒（老字号）2018版A500ml*6</t>
  </si>
  <si>
    <t>40015273</t>
  </si>
  <si>
    <t>45泸州老窖特曲酒老字号（2018版）A二维码装500ml*6</t>
  </si>
  <si>
    <t>40019303</t>
  </si>
  <si>
    <t>51.8品味装5号酒（五码装）496ml*6</t>
  </si>
  <si>
    <t>496ml*6</t>
  </si>
  <si>
    <t>40019300</t>
  </si>
  <si>
    <t>51.8品味装6号酒（五码装）496ml*6</t>
  </si>
  <si>
    <t>40018066</t>
  </si>
  <si>
    <t>52A1（2023版）酒五码装100ml*24</t>
  </si>
  <si>
    <t>40016287</t>
  </si>
  <si>
    <t>52B2(2021版)酒100ml*2*12</t>
  </si>
  <si>
    <t>40016389</t>
  </si>
  <si>
    <t>52C1（2021版）酒250ml*12</t>
  </si>
  <si>
    <t>40018059</t>
  </si>
  <si>
    <t>52C1（2023版）酒五码装100ml*24</t>
  </si>
  <si>
    <t>40013506</t>
  </si>
  <si>
    <t>52百年泸州老窖窖龄90年（2017版品鉴用酒）485ml*4*2</t>
  </si>
  <si>
    <t>40016152</t>
  </si>
  <si>
    <t>52百年泸州老窖窖龄酒30年（2017版盖内码装）500ml*6</t>
  </si>
  <si>
    <t>40016716</t>
  </si>
  <si>
    <t>52百年泸州老窖窖龄酒30年（2017版五码装）500ml*6</t>
  </si>
  <si>
    <t>40013468</t>
  </si>
  <si>
    <t>52百年泸州老窖窖龄酒60年（2017版）125ml*24</t>
  </si>
  <si>
    <t>125ml*24</t>
  </si>
  <si>
    <t>40014196</t>
  </si>
  <si>
    <t>52百年泸州老窖窖龄酒60年（2017版）3L*1</t>
  </si>
  <si>
    <t>3L*1</t>
  </si>
  <si>
    <t>40013367</t>
  </si>
  <si>
    <t>52百年泸州老窖窖龄酒60年（2017版）500ml*6</t>
  </si>
  <si>
    <t>40016146</t>
  </si>
  <si>
    <t>52百年泸州老窖窖龄酒60年（2017版盖内码装）500ml*6</t>
  </si>
  <si>
    <t>40015524</t>
  </si>
  <si>
    <t>52百年泸州老窖窖龄酒60年（2017版品鉴用酒二维码装）485ml*4*2</t>
  </si>
  <si>
    <t>40018636</t>
  </si>
  <si>
    <t>52百年泸州老窖窖龄酒60年（2017版品鉴用酒五码装）485ml*4*2</t>
  </si>
  <si>
    <t>40016720</t>
  </si>
  <si>
    <t>52百年泸州老窖窖龄酒60年（2017版五码装）500ml*6</t>
  </si>
  <si>
    <t>40014185</t>
  </si>
  <si>
    <t>52百年泸州老窖窖龄酒90年（2017版）3L*1</t>
  </si>
  <si>
    <t>40016148</t>
  </si>
  <si>
    <t>52百年泸州老窖窖龄酒90年（2017版盖内码装）500ml*6</t>
  </si>
  <si>
    <t>40015794-H-0000</t>
  </si>
  <si>
    <t>52测试装B6(2020版)酒100ml*6*4</t>
  </si>
  <si>
    <t>100ml*6*4</t>
  </si>
  <si>
    <t>20037366</t>
  </si>
  <si>
    <t>52度国窖1573酒(2022二维码装)500ML盒子</t>
  </si>
  <si>
    <t>1*12</t>
  </si>
  <si>
    <t>支</t>
  </si>
  <si>
    <t>40001906</t>
  </si>
  <si>
    <t>52国窖1573/臻传500ml*4</t>
  </si>
  <si>
    <t>500ML*4</t>
  </si>
  <si>
    <t>40017266</t>
  </si>
  <si>
    <t>52国窖1573酒（2022版品鉴用酒）485ml*4*2</t>
  </si>
  <si>
    <t>40017056</t>
  </si>
  <si>
    <t>52国窖1573酒（2022二维码装）250ml*12</t>
  </si>
  <si>
    <t>40016744</t>
  </si>
  <si>
    <t>52国窖1573酒（2022二维码装）500ml*6</t>
  </si>
  <si>
    <t>40016812</t>
  </si>
  <si>
    <t>52国窖1573酒（国宝红二维码装）500ml*6</t>
  </si>
  <si>
    <t>40016785</t>
  </si>
  <si>
    <t>52国窖1573酒（有机小酒二维码装）50ml*40</t>
  </si>
  <si>
    <t>50ml*40</t>
  </si>
  <si>
    <t>40003559</t>
  </si>
  <si>
    <t>52国窖1573酒2010版500ml*6</t>
  </si>
  <si>
    <t>40019796</t>
  </si>
  <si>
    <t>52国窖1573酒2026阿根廷国家足球队官方纪念酒五码装500ml*1</t>
  </si>
  <si>
    <t>500ml*1</t>
  </si>
  <si>
    <t>40019797</t>
  </si>
  <si>
    <t>52国窖1573酒2026葡萄牙国家足球队官方纪念酒五码装500ml*1</t>
  </si>
  <si>
    <t>40017246</t>
  </si>
  <si>
    <t>52国窖1573酒国宝红品鉴用酒500ml*2*3</t>
  </si>
  <si>
    <t>40005056</t>
  </si>
  <si>
    <t>52国窖1573酒红宝石版500ml*6</t>
  </si>
  <si>
    <t>500ML*6</t>
  </si>
  <si>
    <t>40005091</t>
  </si>
  <si>
    <t>52国窖1573酒鸿运568/500ml*6</t>
  </si>
  <si>
    <t>40016957</t>
  </si>
  <si>
    <t>52国窖1573酒礼顺（红）500ml*6</t>
  </si>
  <si>
    <t>40015488</t>
  </si>
  <si>
    <t>52国窖1573酒签名限量版（林天学大师）1.5L*2</t>
  </si>
  <si>
    <t>1.5L*2</t>
  </si>
  <si>
    <t>40015487</t>
  </si>
  <si>
    <t>52国窖1573酒签名限量版（林天学大师）3L*1</t>
  </si>
  <si>
    <t>40015486</t>
  </si>
  <si>
    <t>52国窖1573酒签名限量版（周军大师）1.5L*2</t>
  </si>
  <si>
    <t>40004166</t>
  </si>
  <si>
    <t>52国窖1573酒有机小酒50ml*40</t>
  </si>
  <si>
    <t>40012547</t>
  </si>
  <si>
    <t>52国窖1573酒中国品味限量版（2016）500ml*6</t>
  </si>
  <si>
    <t>40016504</t>
  </si>
  <si>
    <t>52国窖1573艺术新春酒（大时代庞茂琨版）500ml*6</t>
  </si>
  <si>
    <t>40016013</t>
  </si>
  <si>
    <t>52国窖1573艺术新春酒（东风面张晓刚版）500ml*6</t>
  </si>
  <si>
    <t>40016912</t>
  </si>
  <si>
    <t>52国窖1573艺术新春酒（松峦锦秀薛松版）500ml*6</t>
  </si>
  <si>
    <t>32</t>
  </si>
  <si>
    <t>40016121</t>
  </si>
  <si>
    <t>52国窖1573中国品味限量版品鉴用酒485ml*2*3</t>
  </si>
  <si>
    <t>40017384</t>
  </si>
  <si>
    <t>52浪潮小酒旺季专项投放小酒套装100ml*5*2</t>
  </si>
  <si>
    <t>100ml*5*2</t>
  </si>
  <si>
    <t>30</t>
  </si>
  <si>
    <t>40016734</t>
  </si>
  <si>
    <t>52泸州老窖1952浓香型白酒（二维码装）500ml*6</t>
  </si>
  <si>
    <t>40016227</t>
  </si>
  <si>
    <t>52泸州老窖1952浓香型白酒500ml*6</t>
  </si>
  <si>
    <t>40019371</t>
  </si>
  <si>
    <t>52泸州老窖2026农历丙午马年礼酒/惟尊1.2L*2</t>
  </si>
  <si>
    <t>1.2L*2</t>
  </si>
  <si>
    <t>40002656</t>
  </si>
  <si>
    <t>52泸州老窖绝版老酒500ml*6</t>
  </si>
  <si>
    <t>40014638</t>
  </si>
  <si>
    <t>52泸州老窖特曲酒（老字号）2018版A500ml*6</t>
  </si>
  <si>
    <t>40017358</t>
  </si>
  <si>
    <t>52泸州老窖特曲酒（老字号）宴席装2018版五码装600ml*6</t>
  </si>
  <si>
    <t>600ml*6</t>
  </si>
  <si>
    <t>40016792</t>
  </si>
  <si>
    <t>52泸州老窖特曲酒·癸卯兔年生肖酒1.5L*4</t>
  </si>
  <si>
    <t>1.5L*4</t>
  </si>
  <si>
    <t>40017387</t>
  </si>
  <si>
    <t>52泸州老窖特曲酒·甲辰龙年生肖酒（五码装）500ml*6</t>
  </si>
  <si>
    <t>40016636</t>
  </si>
  <si>
    <t>52泸州老窖特曲酒·生肖珍藏版150ml*4*4</t>
  </si>
  <si>
    <t>150ml*4*4</t>
  </si>
  <si>
    <t>40005449</t>
  </si>
  <si>
    <t>52泸州老窖特曲酒藏品2.5L*1</t>
  </si>
  <si>
    <t>2.5L*1</t>
  </si>
  <si>
    <t>40015323</t>
  </si>
  <si>
    <t>52泸州老窖特曲酒老字号（2018版）3L*1</t>
  </si>
  <si>
    <t>40015143</t>
  </si>
  <si>
    <t>52泸州老窖特曲酒老字号（2018版）50ml*60</t>
  </si>
  <si>
    <t>50ml*60</t>
  </si>
  <si>
    <t>40014847</t>
  </si>
  <si>
    <t>52泸州老窖特曲酒老字号（2018版）A二维码装500ml*6</t>
  </si>
  <si>
    <t>40015843</t>
  </si>
  <si>
    <t>52泸州老窖特曲酒老字号（2018版）品鉴用酒二维码装500ml*4*2</t>
  </si>
  <si>
    <t>40017033</t>
  </si>
  <si>
    <t>53国窖1573春和荣酒（2022版）1.5L*1</t>
  </si>
  <si>
    <t>1.5L*1</t>
  </si>
  <si>
    <t>40016350</t>
  </si>
  <si>
    <t>55泸州老窖特曲酒第一代至第十代纪念版50ml*10*2</t>
  </si>
  <si>
    <t>50ml*10*2</t>
  </si>
  <si>
    <t>40017032</t>
  </si>
  <si>
    <t>56国窖1573酒1573国宝窖池群持续酿造450周年纪念/惟尊1.573L*1</t>
  </si>
  <si>
    <t>1.573L*1</t>
  </si>
  <si>
    <t>40018454</t>
  </si>
  <si>
    <t>60国窖1573浓香700年纪念酒700ml*1</t>
  </si>
  <si>
    <t>700ml*1</t>
  </si>
  <si>
    <t>XRC0091</t>
  </si>
  <si>
    <t>冰鉴正宗-冰壶（内)</t>
  </si>
  <si>
    <t>1*72</t>
  </si>
  <si>
    <t>XRC0090</t>
  </si>
  <si>
    <t>冰鉴正宗-冰壶（外）</t>
  </si>
  <si>
    <t>1*36</t>
  </si>
  <si>
    <t>20022</t>
  </si>
  <si>
    <t>定制50英寸立式广告机 /1个</t>
  </si>
  <si>
    <t>20021</t>
  </si>
  <si>
    <t>定制化刺绣抱枕（白色）/1个</t>
  </si>
  <si>
    <t>20020</t>
  </si>
  <si>
    <t>定制化刺绣抱枕（蓝色）/1个</t>
  </si>
  <si>
    <t>XTF40025</t>
  </si>
  <si>
    <t>发光酒座/1个</t>
  </si>
  <si>
    <t>52002427</t>
  </si>
  <si>
    <t>国窖 1573浓香流芳酒具礼盒/12个</t>
  </si>
  <si>
    <t>50019703</t>
  </si>
  <si>
    <t>国窖1573*冰JOYS随心酒器（炫彩版）12套/件</t>
  </si>
  <si>
    <t>50021586</t>
  </si>
  <si>
    <t>国窖1573.天圆地方杯（湖北）/18个</t>
  </si>
  <si>
    <t>1*18</t>
  </si>
  <si>
    <t>52002552</t>
  </si>
  <si>
    <t>国窖1573·冰joys十二折冰饮杯/6个</t>
  </si>
  <si>
    <t>1*6</t>
  </si>
  <si>
    <t>52002884</t>
  </si>
  <si>
    <t>国窖1573·定制保温杯（黑）</t>
  </si>
  <si>
    <t>20套</t>
  </si>
  <si>
    <t>52002444</t>
  </si>
  <si>
    <t>国窖1573·定制毛毯/20个</t>
  </si>
  <si>
    <t>1*20</t>
  </si>
  <si>
    <t>52000666</t>
  </si>
  <si>
    <t>国窖1573·定制行李箱</t>
  </si>
  <si>
    <t>52000011</t>
  </si>
  <si>
    <t>国窖1573·六合生肖酒具礼盒（2022版）</t>
  </si>
  <si>
    <t>52001828</t>
  </si>
  <si>
    <t>国窖1573·品鉴餐具（2024版）/4个</t>
  </si>
  <si>
    <t>52002551</t>
  </si>
  <si>
    <t>国窖1573·麒麟麟盲盒手办</t>
  </si>
  <si>
    <t>52002550</t>
  </si>
  <si>
    <t>国窖1573·手握星辰餐具礼盒/2个</t>
  </si>
  <si>
    <t>2盒/件</t>
  </si>
  <si>
    <t>52000010</t>
  </si>
  <si>
    <t>国窖1573x探路者·户外套装</t>
  </si>
  <si>
    <t>1</t>
  </si>
  <si>
    <t>52000012</t>
  </si>
  <si>
    <t>国窖1573车载香氛套装</t>
  </si>
  <si>
    <t>1*30</t>
  </si>
  <si>
    <t>50006540</t>
  </si>
  <si>
    <t>国窖1573纯锡茶叶罐</t>
  </si>
  <si>
    <t>20004</t>
  </si>
  <si>
    <t>国窖1573定制抽纸1X48</t>
  </si>
  <si>
    <t>1*48</t>
  </si>
  <si>
    <t>52000689</t>
  </si>
  <si>
    <t>国窖1573定制雨伞</t>
  </si>
  <si>
    <t>1*10</t>
  </si>
  <si>
    <t>把</t>
  </si>
  <si>
    <t>1308</t>
  </si>
  <si>
    <t>国窖1573分酒器组件 /96个</t>
  </si>
  <si>
    <t>1*96</t>
  </si>
  <si>
    <t>只</t>
  </si>
  <si>
    <t>50018397</t>
  </si>
  <si>
    <t>国窖1573精品酒架（2020版）</t>
  </si>
  <si>
    <t>1299</t>
  </si>
  <si>
    <t>国窖1573酒杯组件 /288个</t>
  </si>
  <si>
    <t>1*288</t>
  </si>
  <si>
    <t>50027424</t>
  </si>
  <si>
    <t>国窖1573品鉴餐具（2022版）</t>
  </si>
  <si>
    <t>50006542</t>
  </si>
  <si>
    <t>国窖1573生肖雨伞/20个</t>
  </si>
  <si>
    <t>20把/件</t>
  </si>
  <si>
    <t>50027426</t>
  </si>
  <si>
    <t>国窖1573十二生肖酒具礼盒（2022版）</t>
  </si>
  <si>
    <t>50027425</t>
  </si>
  <si>
    <t>国窖1573十二折酒具套装</t>
  </si>
  <si>
    <t>1*5</t>
  </si>
  <si>
    <t>50006463</t>
  </si>
  <si>
    <t>国窖1573水晶烟缸/10个</t>
  </si>
  <si>
    <t>1295</t>
  </si>
  <si>
    <t>国窖定制扑克牌/40个</t>
  </si>
  <si>
    <t>1*40</t>
  </si>
  <si>
    <t>1295(2026年）</t>
  </si>
  <si>
    <t>国窖定制扑克牌/44个</t>
  </si>
  <si>
    <t>44盒/件</t>
  </si>
  <si>
    <t>50023912</t>
  </si>
  <si>
    <t>华光国瓷世纪之光10头餐具（2盒/件）</t>
  </si>
  <si>
    <t>1*2</t>
  </si>
  <si>
    <t>JL5151001</t>
  </si>
  <si>
    <t>窖龄分酒器</t>
  </si>
  <si>
    <t>132</t>
  </si>
  <si>
    <t>5151JLXXLH</t>
  </si>
  <si>
    <t>窖龄酒车载香熏盒</t>
  </si>
  <si>
    <t>5151FGBT</t>
  </si>
  <si>
    <t>窖龄酒发光冰桶</t>
  </si>
  <si>
    <t>5</t>
  </si>
  <si>
    <t>JL5151002</t>
  </si>
  <si>
    <t>窖龄小酒杯</t>
  </si>
  <si>
    <t>210</t>
  </si>
  <si>
    <t>JL5151011</t>
  </si>
  <si>
    <t>立牌</t>
  </si>
  <si>
    <t>20</t>
  </si>
  <si>
    <t>52000016</t>
  </si>
  <si>
    <t>泸州老窖1952酒杯2022升级款</t>
  </si>
  <si>
    <t>1*240</t>
  </si>
  <si>
    <t>JL5151066</t>
  </si>
  <si>
    <t>泸州老窖分酒器</t>
  </si>
  <si>
    <t>149</t>
  </si>
  <si>
    <t>JL5151040</t>
  </si>
  <si>
    <t>泸州老窖酒杯</t>
  </si>
  <si>
    <t>150</t>
  </si>
  <si>
    <t>20039241</t>
  </si>
  <si>
    <t>泸州老窖酒杯组件（288个/件）</t>
  </si>
  <si>
    <t>50018972</t>
  </si>
  <si>
    <t>泸州老窖特曲·摆台餐具8件套(6盒1件)</t>
  </si>
  <si>
    <t>50018791</t>
  </si>
  <si>
    <t>泸州老窖特曲玻璃酒杯((1x6)x60盒/件)</t>
  </si>
  <si>
    <t>52000200</t>
  </si>
  <si>
    <t>泸州老窖特曲定制短柄伞（30把/箱）</t>
  </si>
  <si>
    <t>50018794</t>
  </si>
  <si>
    <t>泸州老窖特曲发光冰桶(12个/件)</t>
  </si>
  <si>
    <t>1329</t>
  </si>
  <si>
    <t>美丽湖北小酒礼盒(包材)</t>
  </si>
  <si>
    <t>1件/5盒</t>
  </si>
  <si>
    <t>50024190</t>
  </si>
  <si>
    <t>特曲分酒器1*72</t>
  </si>
  <si>
    <t>50015132</t>
  </si>
  <si>
    <t>希拉谷收藏红葡萄酒（大支装）1500ML瓦楞纸外箱</t>
  </si>
  <si>
    <t>1500ML</t>
  </si>
  <si>
    <t>2002</t>
  </si>
  <si>
    <t>真空保温杯</t>
  </si>
  <si>
    <t>1*16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</si>
</sst>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NumberFormat="1" applyFont="1" applyFill="1">
      <alignment vertical="center"/>
    </xf>
    <xf numFmtId="49" fontId="1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right"/>
    </xf>
    <xf numFmtId="0" fontId="2" fillId="0" borderId="1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35;&#20301;&#22312;&#24211;%20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2">
          <cell r="J2" t="str">
            <v>货品编码</v>
          </cell>
          <cell r="K2" t="str">
            <v>货品名称</v>
          </cell>
          <cell r="L2" t="str">
            <v>货位编码</v>
          </cell>
          <cell r="M2" t="str">
            <v>订单单位</v>
          </cell>
          <cell r="N2" t="str">
            <v>求和项:订单单位数量</v>
          </cell>
          <cell r="O2" t="str">
            <v>备注</v>
          </cell>
        </row>
        <row r="3">
          <cell r="J3" t="str">
            <v>40014847</v>
          </cell>
          <cell r="K3" t="str">
            <v>52泸州老窖特曲酒老字号（2018版）A二维码装500ml*6</v>
          </cell>
          <cell r="L3" t="str">
            <v>054-03-C-14-01-01-丙</v>
          </cell>
          <cell r="M3" t="str">
            <v>件</v>
          </cell>
          <cell r="N3">
            <v>9.667</v>
          </cell>
          <cell r="O3">
            <v>32</v>
          </cell>
        </row>
        <row r="4">
          <cell r="J4" t="str">
            <v>40014619</v>
          </cell>
          <cell r="K4" t="str">
            <v>42/2018测试3号100ml*24</v>
          </cell>
          <cell r="L4" t="str">
            <v>054-03-C-14-02-01-丙</v>
          </cell>
          <cell r="M4" t="str">
            <v>件</v>
          </cell>
          <cell r="N4">
            <v>1</v>
          </cell>
          <cell r="O4">
            <v>60</v>
          </cell>
        </row>
        <row r="5">
          <cell r="J5" t="str">
            <v>40016389</v>
          </cell>
          <cell r="K5" t="str">
            <v>52C1（2021版）酒250ml*12</v>
          </cell>
          <cell r="L5" t="str">
            <v>054-03-C-14-02-01-丙</v>
          </cell>
          <cell r="M5" t="str">
            <v>件</v>
          </cell>
          <cell r="N5">
            <v>2</v>
          </cell>
          <cell r="O5">
            <v>60</v>
          </cell>
        </row>
        <row r="6">
          <cell r="J6" t="str">
            <v>40016636</v>
          </cell>
          <cell r="K6" t="str">
            <v>52泸州老窖特曲酒·生肖珍藏版150ml*4*4</v>
          </cell>
          <cell r="L6" t="str">
            <v>054-03-C-14-02-01-丙</v>
          </cell>
          <cell r="M6" t="str">
            <v>件</v>
          </cell>
          <cell r="N6">
            <v>8</v>
          </cell>
          <cell r="O6">
            <v>16</v>
          </cell>
        </row>
        <row r="7">
          <cell r="J7" t="str">
            <v>40016734</v>
          </cell>
          <cell r="K7" t="str">
            <v>52泸州老窖1952浓香型白酒（二维码装）500ml*6</v>
          </cell>
          <cell r="L7" t="str">
            <v>054-03-C-14-02-01-丙</v>
          </cell>
          <cell r="M7" t="str">
            <v>件</v>
          </cell>
          <cell r="N7">
            <v>1</v>
          </cell>
          <cell r="O7">
            <v>32</v>
          </cell>
        </row>
        <row r="8">
          <cell r="J8" t="str">
            <v>40017384</v>
          </cell>
          <cell r="K8" t="str">
            <v>52浪潮小酒旺季专项投放小酒套装100ml*5*2</v>
          </cell>
          <cell r="L8" t="str">
            <v>054-03-C-14-02-03-丙</v>
          </cell>
          <cell r="M8" t="str">
            <v>件</v>
          </cell>
          <cell r="N8">
            <v>12</v>
          </cell>
          <cell r="O8">
            <v>30</v>
          </cell>
        </row>
        <row r="9">
          <cell r="J9" t="str">
            <v>40016650</v>
          </cell>
          <cell r="K9" t="str">
            <v>42泸州老窖特曲酒老字号（2018版）A二维码装500ml*6</v>
          </cell>
          <cell r="L9" t="str">
            <v>054-03-C-14-03-01-丙</v>
          </cell>
          <cell r="M9" t="str">
            <v>件</v>
          </cell>
          <cell r="N9">
            <v>3</v>
          </cell>
          <cell r="O9">
            <v>32</v>
          </cell>
        </row>
        <row r="10">
          <cell r="J10" t="str">
            <v>40014845</v>
          </cell>
          <cell r="K10" t="str">
            <v>38泸州老窖特曲酒老字号（2018版）A二维码装500ml*6</v>
          </cell>
          <cell r="L10" t="str">
            <v>054-03-C-14-03-02-丙</v>
          </cell>
          <cell r="M10" t="str">
            <v>件</v>
          </cell>
          <cell r="N10">
            <v>8.833</v>
          </cell>
          <cell r="O10">
            <v>32</v>
          </cell>
        </row>
        <row r="11">
          <cell r="J11" t="str">
            <v>40017358</v>
          </cell>
          <cell r="K11" t="str">
            <v>52泸州老窖特曲酒（老字号）宴席装2018版五码装600ml*6</v>
          </cell>
          <cell r="L11" t="str">
            <v>054-03-C-14-03-03-丙</v>
          </cell>
          <cell r="M11" t="str">
            <v>件</v>
          </cell>
          <cell r="N11">
            <v>30</v>
          </cell>
          <cell r="O11">
            <v>32</v>
          </cell>
        </row>
        <row r="12">
          <cell r="J12" t="str">
            <v>40014638</v>
          </cell>
          <cell r="K12" t="str">
            <v>52泸州老窖特曲酒（老字号）2018版A500ml*6</v>
          </cell>
          <cell r="L12" t="str">
            <v>054-03-C-14-04-01-丙</v>
          </cell>
          <cell r="M12" t="str">
            <v>件</v>
          </cell>
          <cell r="N12">
            <v>26</v>
          </cell>
          <cell r="O12">
            <v>32</v>
          </cell>
        </row>
        <row r="13">
          <cell r="J13" t="str">
            <v>40002656</v>
          </cell>
          <cell r="K13" t="str">
            <v>52泸州老窖绝版老酒500ml*6</v>
          </cell>
          <cell r="L13" t="str">
            <v>054-03-C-14-05-01-丙</v>
          </cell>
          <cell r="M13" t="str">
            <v>件</v>
          </cell>
          <cell r="N13">
            <v>1</v>
          </cell>
          <cell r="O13">
            <v>32</v>
          </cell>
        </row>
        <row r="14">
          <cell r="J14" t="str">
            <v>40015845</v>
          </cell>
          <cell r="K14" t="str">
            <v>38泸州老窖特曲酒老字号（2018版）品鉴用酒二维码装500ml*4*2</v>
          </cell>
          <cell r="L14" t="str">
            <v>054-03-C-14-05-01-丙</v>
          </cell>
          <cell r="M14" t="str">
            <v>件</v>
          </cell>
          <cell r="N14">
            <v>0.75</v>
          </cell>
          <cell r="O14">
            <v>28</v>
          </cell>
        </row>
        <row r="15">
          <cell r="J15" t="str">
            <v>40016350</v>
          </cell>
          <cell r="K15" t="str">
            <v>55泸州老窖特曲酒第一代至第十代纪念版50ml*10*2</v>
          </cell>
          <cell r="L15" t="str">
            <v>054-03-C-14-05-01-丙</v>
          </cell>
          <cell r="M15" t="str">
            <v>件</v>
          </cell>
          <cell r="N15">
            <v>1</v>
          </cell>
          <cell r="O15">
            <v>24</v>
          </cell>
        </row>
        <row r="16">
          <cell r="J16" t="str">
            <v>40016735</v>
          </cell>
          <cell r="K16" t="str">
            <v>43泸州老窖1952浓香型白酒（二维码装）500ml*6</v>
          </cell>
          <cell r="L16" t="str">
            <v>054-03-C-14-05-01-丙</v>
          </cell>
          <cell r="M16" t="str">
            <v>件</v>
          </cell>
          <cell r="N16">
            <v>1</v>
          </cell>
          <cell r="O16">
            <v>32</v>
          </cell>
        </row>
        <row r="17">
          <cell r="J17" t="str">
            <v>40005449</v>
          </cell>
          <cell r="K17" t="str">
            <v>52泸州老窖特曲酒藏品2.5L*1</v>
          </cell>
          <cell r="L17" t="str">
            <v>054-03-C-14-06-01-丙</v>
          </cell>
          <cell r="M17" t="str">
            <v>件</v>
          </cell>
          <cell r="N17">
            <v>3</v>
          </cell>
          <cell r="O17">
            <v>16</v>
          </cell>
        </row>
        <row r="18">
          <cell r="J18" t="str">
            <v>40015143</v>
          </cell>
          <cell r="K18" t="str">
            <v>52泸州老窖特曲酒老字号（2018版）50ml*60</v>
          </cell>
          <cell r="L18" t="str">
            <v>054-03-C-14-06-01-丙</v>
          </cell>
          <cell r="M18" t="str">
            <v>件</v>
          </cell>
          <cell r="N18">
            <v>3.617</v>
          </cell>
          <cell r="O18">
            <v>60</v>
          </cell>
        </row>
        <row r="19">
          <cell r="J19" t="str">
            <v>40014694</v>
          </cell>
          <cell r="K19" t="str">
            <v>45泸州老窖特曲酒（老字号）2018版A500ml*6</v>
          </cell>
          <cell r="L19" t="str">
            <v>054-03-C-14-06-02-丙</v>
          </cell>
          <cell r="M19" t="str">
            <v>件</v>
          </cell>
          <cell r="N19">
            <v>17</v>
          </cell>
          <cell r="O19">
            <v>32</v>
          </cell>
        </row>
        <row r="20">
          <cell r="J20" t="str">
            <v>40015273</v>
          </cell>
          <cell r="K20" t="str">
            <v>45泸州老窖特曲酒老字号（2018版）A二维码装500ml*6</v>
          </cell>
          <cell r="L20" t="str">
            <v>054-03-C-14-06-03-丙</v>
          </cell>
          <cell r="M20" t="str">
            <v>件</v>
          </cell>
          <cell r="N20">
            <v>29</v>
          </cell>
          <cell r="O20">
            <v>32</v>
          </cell>
        </row>
        <row r="21">
          <cell r="J21" t="str">
            <v>40015323</v>
          </cell>
          <cell r="K21" t="str">
            <v>52泸州老窖特曲酒老字号（2018版）3L*1</v>
          </cell>
          <cell r="L21" t="str">
            <v>054-03-C-14-06-04-丙</v>
          </cell>
          <cell r="M21" t="str">
            <v>件</v>
          </cell>
          <cell r="N21">
            <v>14</v>
          </cell>
          <cell r="O21">
            <v>16</v>
          </cell>
        </row>
        <row r="22">
          <cell r="J22" t="str">
            <v>40011838</v>
          </cell>
          <cell r="K22" t="str">
            <v>38泸州老窖特曲酒·晶彩500ml*6</v>
          </cell>
          <cell r="L22" t="str">
            <v>054-03-C-14-07-01-丙</v>
          </cell>
          <cell r="M22" t="str">
            <v>件</v>
          </cell>
          <cell r="N22">
            <v>6</v>
          </cell>
          <cell r="O22">
            <v>32</v>
          </cell>
        </row>
        <row r="23">
          <cell r="J23" t="str">
            <v>40017387</v>
          </cell>
          <cell r="K23" t="str">
            <v>52泸州老窖特曲酒·甲辰龙年生肖酒（五码装）500ml*6</v>
          </cell>
          <cell r="L23" t="str">
            <v>054-03-C-14-07-02-丙</v>
          </cell>
          <cell r="M23" t="str">
            <v>件</v>
          </cell>
          <cell r="N23">
            <v>2</v>
          </cell>
          <cell r="O23">
            <v>32</v>
          </cell>
        </row>
        <row r="24">
          <cell r="J24" t="str">
            <v>40016792</v>
          </cell>
          <cell r="K24" t="str">
            <v>52泸州老窖特曲酒·癸卯兔年生肖酒1.5L*4</v>
          </cell>
          <cell r="L24" t="str">
            <v>054-03-C-14-07-03-丙</v>
          </cell>
          <cell r="M24" t="str">
            <v>件</v>
          </cell>
          <cell r="N24">
            <v>9.75</v>
          </cell>
          <cell r="O24">
            <v>32</v>
          </cell>
        </row>
        <row r="25">
          <cell r="J25" t="str">
            <v>40018059</v>
          </cell>
          <cell r="K25" t="str">
            <v>52C1（2023版）酒五码装100ml*24</v>
          </cell>
          <cell r="L25" t="str">
            <v>054-03-C-14-08-02-丙</v>
          </cell>
          <cell r="M25" t="str">
            <v>件</v>
          </cell>
          <cell r="N25">
            <v>48</v>
          </cell>
          <cell r="O25">
            <v>50</v>
          </cell>
        </row>
        <row r="26">
          <cell r="J26" t="str">
            <v>40019018</v>
          </cell>
          <cell r="K26" t="str">
            <v>38泸州老窖特曲酒老字号（2018版）品鉴用酒五码装230ml*12</v>
          </cell>
          <cell r="L26" t="str">
            <v>054-03-C-14-09-01-丙</v>
          </cell>
          <cell r="M26" t="str">
            <v>件</v>
          </cell>
          <cell r="N26">
            <v>7</v>
          </cell>
          <cell r="O26">
            <v>60</v>
          </cell>
        </row>
        <row r="27">
          <cell r="J27" t="str">
            <v>50023952</v>
          </cell>
          <cell r="K27" t="str">
            <v>1952定制分酒器</v>
          </cell>
          <cell r="L27" t="str">
            <v>054-03-C-14-09-02-丙</v>
          </cell>
          <cell r="M27" t="str">
            <v>件</v>
          </cell>
          <cell r="N27">
            <v>10.5</v>
          </cell>
          <cell r="O27">
            <v>20</v>
          </cell>
        </row>
        <row r="28">
          <cell r="J28" t="str">
            <v>XRC0091</v>
          </cell>
          <cell r="K28" t="str">
            <v>冰鉴正宗-冰壶（内)</v>
          </cell>
          <cell r="L28" t="str">
            <v>054-03-C-14-09-03-丙</v>
          </cell>
          <cell r="M28" t="str">
            <v>件</v>
          </cell>
          <cell r="N28">
            <v>12.5</v>
          </cell>
          <cell r="O28">
            <v>25</v>
          </cell>
        </row>
        <row r="29">
          <cell r="J29" t="str">
            <v>XRC0090</v>
          </cell>
          <cell r="K29" t="str">
            <v>冰鉴正宗-冰壶（外）</v>
          </cell>
          <cell r="L29" t="str">
            <v>054-03-C-14-09-04-丙</v>
          </cell>
          <cell r="M29" t="str">
            <v>件</v>
          </cell>
          <cell r="N29">
            <v>25</v>
          </cell>
          <cell r="O29">
            <v>25</v>
          </cell>
        </row>
        <row r="30">
          <cell r="J30" t="str">
            <v>50018972</v>
          </cell>
          <cell r="K30" t="str">
            <v>泸州老窖特曲·摆台餐具8件套(6盒1件)</v>
          </cell>
          <cell r="L30" t="str">
            <v>054-03-C-14-09-05-丙</v>
          </cell>
          <cell r="M30" t="str">
            <v>件</v>
          </cell>
          <cell r="N30">
            <v>20</v>
          </cell>
          <cell r="O30">
            <v>25</v>
          </cell>
        </row>
        <row r="31">
          <cell r="J31" t="str">
            <v>40015844</v>
          </cell>
          <cell r="K31" t="str">
            <v>42泸州老窖特曲酒老字号（2018版）品鉴用酒二维码装500ml*4*2</v>
          </cell>
          <cell r="L31" t="str">
            <v>054-03-C-14-10-01-丙</v>
          </cell>
          <cell r="M31" t="str">
            <v>件</v>
          </cell>
          <cell r="N31">
            <v>10</v>
          </cell>
          <cell r="O31">
            <v>28</v>
          </cell>
        </row>
        <row r="32">
          <cell r="J32" t="str">
            <v>52000016</v>
          </cell>
          <cell r="K32" t="str">
            <v>泸州老窖1952酒杯2022升级款</v>
          </cell>
          <cell r="L32" t="str">
            <v>054-03-C-14-10-02-丙</v>
          </cell>
          <cell r="M32" t="str">
            <v>件</v>
          </cell>
          <cell r="N32">
            <v>9</v>
          </cell>
        </row>
        <row r="33">
          <cell r="J33" t="str">
            <v>50024190</v>
          </cell>
          <cell r="K33" t="str">
            <v>特曲分酒器1*72</v>
          </cell>
          <cell r="L33" t="str">
            <v>054-03-C-14-10-03-丙</v>
          </cell>
          <cell r="M33" t="str">
            <v>件</v>
          </cell>
          <cell r="N33">
            <v>23.333</v>
          </cell>
          <cell r="O33">
            <v>40</v>
          </cell>
        </row>
        <row r="34">
          <cell r="J34" t="str">
            <v>50018791</v>
          </cell>
          <cell r="K34" t="str">
            <v>泸州老窖特曲玻璃酒杯((1x6)x60盒/件)</v>
          </cell>
          <cell r="L34" t="str">
            <v>054-03-C-14-11-01-丙</v>
          </cell>
          <cell r="M34" t="str">
            <v>件</v>
          </cell>
          <cell r="N34">
            <v>6.333</v>
          </cell>
          <cell r="O34">
            <v>32</v>
          </cell>
        </row>
        <row r="35">
          <cell r="J35" t="str">
            <v>52000200</v>
          </cell>
          <cell r="K35" t="str">
            <v>泸州老窖特曲定制短柄伞（30把/箱）</v>
          </cell>
          <cell r="L35" t="str">
            <v>054-03-C-14-11-01-丙</v>
          </cell>
          <cell r="M35" t="str">
            <v>件</v>
          </cell>
          <cell r="N35">
            <v>2.5</v>
          </cell>
        </row>
        <row r="36">
          <cell r="J36" t="str">
            <v>ZGS1952007</v>
          </cell>
          <cell r="K36" t="str">
            <v>1952龙凤筷</v>
          </cell>
          <cell r="L36" t="str">
            <v>054-03-C-14-11-01-丙</v>
          </cell>
          <cell r="M36" t="str">
            <v>件</v>
          </cell>
          <cell r="N36">
            <v>4</v>
          </cell>
          <cell r="O36">
            <v>4</v>
          </cell>
        </row>
        <row r="37">
          <cell r="J37" t="str">
            <v>ZGS1952008</v>
          </cell>
          <cell r="K37" t="str">
            <v>《莲开福运》建盏套装</v>
          </cell>
          <cell r="L37" t="str">
            <v>054-03-C-14-11-01-丙</v>
          </cell>
          <cell r="M37" t="str">
            <v>件</v>
          </cell>
          <cell r="N37">
            <v>2</v>
          </cell>
        </row>
        <row r="38">
          <cell r="J38" t="str">
            <v>50018794</v>
          </cell>
          <cell r="K38" t="str">
            <v>泸州老窖特曲发光冰桶(12个/件)</v>
          </cell>
          <cell r="L38" t="str">
            <v>054-03-C-14-11-02-丙</v>
          </cell>
          <cell r="M38" t="str">
            <v>件</v>
          </cell>
          <cell r="N38">
            <v>8.333</v>
          </cell>
          <cell r="O38">
            <v>12</v>
          </cell>
        </row>
        <row r="39">
          <cell r="J39" t="str">
            <v>20039241</v>
          </cell>
          <cell r="K39" t="str">
            <v>泸州老窖酒杯组件（288个/件）</v>
          </cell>
          <cell r="L39" t="str">
            <v>054-03-C-14-11-03-丙</v>
          </cell>
          <cell r="M39" t="str">
            <v>件</v>
          </cell>
          <cell r="N39">
            <v>40</v>
          </cell>
          <cell r="O39">
            <v>40</v>
          </cell>
        </row>
        <row r="40">
          <cell r="J40" t="str">
            <v>50023912</v>
          </cell>
          <cell r="K40" t="str">
            <v>华光国瓷世纪之光10头餐具（2盒/件）</v>
          </cell>
          <cell r="L40" t="str">
            <v>054-03-C-14-11-04-丙</v>
          </cell>
          <cell r="M40" t="str">
            <v>件</v>
          </cell>
          <cell r="N40">
            <v>15</v>
          </cell>
          <cell r="O40">
            <v>21</v>
          </cell>
        </row>
        <row r="41">
          <cell r="J41" t="str">
            <v>ZGS1952006</v>
          </cell>
          <cell r="K41" t="str">
            <v>1952探路者户外帐篷</v>
          </cell>
          <cell r="L41" t="str">
            <v>054-03-C-14-12-04-丙</v>
          </cell>
          <cell r="M41" t="str">
            <v>件</v>
          </cell>
          <cell r="N41">
            <v>4</v>
          </cell>
          <cell r="O41">
            <v>9</v>
          </cell>
        </row>
        <row r="42">
          <cell r="J42" t="str">
            <v>40016745</v>
          </cell>
          <cell r="K42" t="str">
            <v>38国窖1573酒（2022二维码装）500ml*6</v>
          </cell>
          <cell r="L42" t="str">
            <v>054-03-C-15-01-02-丙</v>
          </cell>
          <cell r="M42" t="str">
            <v>件</v>
          </cell>
          <cell r="N42">
            <v>16</v>
          </cell>
          <cell r="O42">
            <v>32</v>
          </cell>
        </row>
        <row r="43">
          <cell r="J43" t="str">
            <v>40012547</v>
          </cell>
          <cell r="K43" t="str">
            <v>52国窖1573酒中国品味限量版（2016）500ml*6</v>
          </cell>
          <cell r="L43" t="str">
            <v>054-03-C-15-02-01-丙</v>
          </cell>
          <cell r="M43" t="str">
            <v>件</v>
          </cell>
          <cell r="N43">
            <v>0.333</v>
          </cell>
          <cell r="O43">
            <v>24</v>
          </cell>
        </row>
        <row r="44">
          <cell r="J44" t="str">
            <v>40017056</v>
          </cell>
          <cell r="K44" t="str">
            <v>52国窖1573酒（2022二维码装）250ml*12</v>
          </cell>
          <cell r="L44" t="str">
            <v>054-03-C-15-02-01-丙</v>
          </cell>
          <cell r="M44" t="str">
            <v>件</v>
          </cell>
          <cell r="N44">
            <v>1</v>
          </cell>
          <cell r="O44">
            <v>32</v>
          </cell>
        </row>
        <row r="45">
          <cell r="J45" t="str">
            <v>40017057</v>
          </cell>
          <cell r="K45" t="str">
            <v>38国窖1573酒（2022二维码装）250ml*12</v>
          </cell>
          <cell r="L45" t="str">
            <v>054-03-C-15-02-01-丙</v>
          </cell>
          <cell r="M45" t="str">
            <v>件</v>
          </cell>
          <cell r="N45">
            <v>1</v>
          </cell>
          <cell r="O45">
            <v>32</v>
          </cell>
        </row>
        <row r="46">
          <cell r="J46" t="str">
            <v>40019371</v>
          </cell>
          <cell r="K46" t="str">
            <v>52泸州老窖2026农历丙午马年礼酒/惟尊1.2L*2</v>
          </cell>
          <cell r="L46" t="str">
            <v>054-03-C-15-02-01-丙</v>
          </cell>
          <cell r="M46" t="str">
            <v>件</v>
          </cell>
          <cell r="N46">
            <v>1</v>
          </cell>
          <cell r="O46">
            <v>24</v>
          </cell>
        </row>
        <row r="47">
          <cell r="J47" t="str">
            <v>40018066</v>
          </cell>
          <cell r="K47" t="str">
            <v>52A1（2023版）酒五码装100ml*24</v>
          </cell>
          <cell r="L47" t="str">
            <v>054-03-C-15-02-02-丙</v>
          </cell>
          <cell r="M47" t="str">
            <v>件</v>
          </cell>
          <cell r="N47">
            <v>50</v>
          </cell>
          <cell r="O47">
            <v>50</v>
          </cell>
        </row>
        <row r="48">
          <cell r="J48" t="str">
            <v>40001906</v>
          </cell>
          <cell r="K48" t="str">
            <v>52国窖1573/臻传500ml*4</v>
          </cell>
          <cell r="L48" t="str">
            <v>054-03-C-15-03-01-丙</v>
          </cell>
          <cell r="M48" t="str">
            <v>件</v>
          </cell>
          <cell r="N48">
            <v>1</v>
          </cell>
          <cell r="O48">
            <v>24</v>
          </cell>
        </row>
        <row r="49">
          <cell r="J49" t="str">
            <v>40003559</v>
          </cell>
          <cell r="K49" t="str">
            <v>52国窖1573酒2010版500ml*6</v>
          </cell>
          <cell r="L49" t="str">
            <v>054-03-C-15-03-01-丙</v>
          </cell>
          <cell r="M49" t="str">
            <v>件</v>
          </cell>
          <cell r="N49">
            <v>1.667</v>
          </cell>
          <cell r="O49">
            <v>32</v>
          </cell>
        </row>
        <row r="50">
          <cell r="J50" t="str">
            <v>40005056</v>
          </cell>
          <cell r="K50" t="str">
            <v>52国窖1573酒红宝石版500ml*6</v>
          </cell>
          <cell r="L50" t="str">
            <v>054-03-C-15-03-01-丙</v>
          </cell>
          <cell r="M50" t="str">
            <v>件</v>
          </cell>
          <cell r="N50">
            <v>1</v>
          </cell>
          <cell r="O50">
            <v>32</v>
          </cell>
        </row>
        <row r="51">
          <cell r="J51" t="str">
            <v>40016504</v>
          </cell>
          <cell r="K51" t="str">
            <v>52国窖1573艺术新春酒（大时代庞茂琨版）500ml*6</v>
          </cell>
          <cell r="L51" t="str">
            <v>054-03-C-15-03-01-丙</v>
          </cell>
          <cell r="M51" t="str">
            <v>件</v>
          </cell>
          <cell r="N51">
            <v>0.167</v>
          </cell>
          <cell r="O51">
            <v>32</v>
          </cell>
        </row>
        <row r="52">
          <cell r="J52" t="str">
            <v>40016812</v>
          </cell>
          <cell r="K52" t="str">
            <v>52国窖1573酒（国宝红二维码装）500ml*6</v>
          </cell>
          <cell r="L52" t="str">
            <v>054-03-C-15-03-01-丙</v>
          </cell>
          <cell r="M52" t="str">
            <v>件</v>
          </cell>
          <cell r="N52">
            <v>0.667</v>
          </cell>
          <cell r="O52">
            <v>28</v>
          </cell>
        </row>
        <row r="53">
          <cell r="J53" t="str">
            <v>40018454</v>
          </cell>
          <cell r="K53" t="str">
            <v>60国窖1573浓香700年纪念酒700ml*1</v>
          </cell>
          <cell r="L53" t="str">
            <v>054-03-C-15-03-01-丙</v>
          </cell>
          <cell r="M53" t="str">
            <v>件</v>
          </cell>
          <cell r="N53">
            <v>1</v>
          </cell>
          <cell r="O53">
            <v>30</v>
          </cell>
        </row>
        <row r="54">
          <cell r="J54" t="str">
            <v>40018894</v>
          </cell>
          <cell r="K54" t="str">
            <v>38国窖1573酒美丽湖北（五码装）125ml*12</v>
          </cell>
          <cell r="L54" t="str">
            <v>054-03-C-15-03-01-丙</v>
          </cell>
          <cell r="M54" t="str">
            <v>件</v>
          </cell>
          <cell r="N54">
            <v>1.667</v>
          </cell>
          <cell r="O54">
            <v>50</v>
          </cell>
        </row>
        <row r="55">
          <cell r="J55" t="str">
            <v>40016957</v>
          </cell>
          <cell r="K55" t="str">
            <v>52国窖1573酒礼顺（红）500ml*6</v>
          </cell>
          <cell r="L55" t="str">
            <v>054-03-C-15-03-02-丙</v>
          </cell>
          <cell r="M55" t="str">
            <v>件</v>
          </cell>
          <cell r="N55">
            <v>14</v>
          </cell>
          <cell r="O55">
            <v>32</v>
          </cell>
        </row>
        <row r="56">
          <cell r="J56" t="str">
            <v>40016744</v>
          </cell>
          <cell r="K56" t="str">
            <v>52国窖1573酒（2022二维码装）500ml*6</v>
          </cell>
          <cell r="L56" t="str">
            <v>054-03-C-15-04-01-丙</v>
          </cell>
          <cell r="M56" t="str">
            <v>件</v>
          </cell>
          <cell r="N56">
            <v>22.333</v>
          </cell>
          <cell r="O56">
            <v>32</v>
          </cell>
        </row>
        <row r="57">
          <cell r="J57" t="str">
            <v>40017033</v>
          </cell>
          <cell r="K57" t="str">
            <v>53国窖1573春和荣酒（2022版）1.5L*1</v>
          </cell>
          <cell r="L57" t="str">
            <v>054-03-C-15-04-02-丙</v>
          </cell>
          <cell r="M57" t="str">
            <v>件</v>
          </cell>
          <cell r="N57">
            <v>11</v>
          </cell>
          <cell r="O57">
            <v>40</v>
          </cell>
        </row>
        <row r="58">
          <cell r="J58" t="str">
            <v>40018067</v>
          </cell>
          <cell r="K58" t="str">
            <v>38A1（2023版）酒五码装100ml*24</v>
          </cell>
          <cell r="L58" t="str">
            <v>054-03-C-15-05-01-丙</v>
          </cell>
          <cell r="M58" t="str">
            <v>件</v>
          </cell>
          <cell r="N58">
            <v>51</v>
          </cell>
          <cell r="O58">
            <v>50</v>
          </cell>
        </row>
        <row r="59">
          <cell r="J59" t="str">
            <v>40016912</v>
          </cell>
          <cell r="K59" t="str">
            <v>52国窖1573艺术新春酒（松峦锦秀薛松版）500ml*6</v>
          </cell>
          <cell r="L59" t="str">
            <v>054-03-C-15-05-03-丙</v>
          </cell>
          <cell r="M59" t="str">
            <v>件</v>
          </cell>
          <cell r="N59">
            <v>32</v>
          </cell>
          <cell r="O59">
            <v>32</v>
          </cell>
        </row>
        <row r="60">
          <cell r="J60" t="str">
            <v>40016785</v>
          </cell>
          <cell r="K60" t="str">
            <v>52国窖1573酒（有机小酒二维码装）50ml*40</v>
          </cell>
          <cell r="L60" t="str">
            <v>054-03-C-15-06-01-丙</v>
          </cell>
          <cell r="M60" t="str">
            <v>件</v>
          </cell>
          <cell r="N60">
            <v>4.55</v>
          </cell>
          <cell r="O60">
            <v>40</v>
          </cell>
        </row>
        <row r="61">
          <cell r="J61" t="str">
            <v>40012548</v>
          </cell>
          <cell r="K61" t="str">
            <v>38国窖1573酒中国品味限量版（2016）500ml*6</v>
          </cell>
          <cell r="L61" t="str">
            <v>054-03-C-15-06-04-丙</v>
          </cell>
          <cell r="M61" t="str">
            <v>件</v>
          </cell>
          <cell r="N61">
            <v>16</v>
          </cell>
          <cell r="O61">
            <v>24</v>
          </cell>
        </row>
        <row r="62">
          <cell r="J62" t="str">
            <v>40019796</v>
          </cell>
          <cell r="K62" t="str">
            <v>52国窖1573酒2026阿根廷国家足球队官方纪念酒五码装500ml*1</v>
          </cell>
          <cell r="L62" t="str">
            <v>054-03-C-15-07-03-丙</v>
          </cell>
          <cell r="M62" t="str">
            <v>件</v>
          </cell>
          <cell r="N62">
            <v>13</v>
          </cell>
          <cell r="O62">
            <v>40</v>
          </cell>
        </row>
        <row r="63">
          <cell r="J63" t="str">
            <v>40019826</v>
          </cell>
          <cell r="K63" t="str">
            <v>38国窖1573酒2026葡萄牙国家足球队官方纪念酒五码装100ml*12</v>
          </cell>
          <cell r="L63" t="str">
            <v>054-03-C-15-07-04-丙</v>
          </cell>
          <cell r="M63" t="str">
            <v>件</v>
          </cell>
          <cell r="N63">
            <v>17.5</v>
          </cell>
          <cell r="O63">
            <v>40</v>
          </cell>
        </row>
        <row r="64">
          <cell r="J64" t="str">
            <v>40019797</v>
          </cell>
          <cell r="K64" t="str">
            <v>52国窖1573酒2026葡萄牙国家足球队官方纪念酒五码装500ml*1</v>
          </cell>
          <cell r="L64" t="str">
            <v>054-03-C-15-08-03-丙</v>
          </cell>
          <cell r="M64" t="str">
            <v>件</v>
          </cell>
          <cell r="N64">
            <v>15</v>
          </cell>
          <cell r="O64">
            <v>40</v>
          </cell>
        </row>
        <row r="65">
          <cell r="J65" t="str">
            <v>40017246</v>
          </cell>
          <cell r="K65" t="str">
            <v>52国窖1573酒国宝红品鉴用酒500ml*2*3</v>
          </cell>
          <cell r="L65" t="str">
            <v>054-03-C-15-09-02-丙</v>
          </cell>
          <cell r="M65" t="str">
            <v>件</v>
          </cell>
          <cell r="N65">
            <v>7.833</v>
          </cell>
          <cell r="O65">
            <v>32</v>
          </cell>
        </row>
        <row r="66">
          <cell r="J66" t="str">
            <v>40016227</v>
          </cell>
          <cell r="K66" t="str">
            <v>52泸州老窖1952浓香型白酒500ml*6</v>
          </cell>
          <cell r="L66" t="str">
            <v>054-03-C-15-09-03-丙</v>
          </cell>
          <cell r="M66" t="str">
            <v>件</v>
          </cell>
          <cell r="N66">
            <v>12</v>
          </cell>
          <cell r="O66">
            <v>48</v>
          </cell>
        </row>
        <row r="67">
          <cell r="J67" t="str">
            <v>10999</v>
          </cell>
          <cell r="K67" t="str">
            <v>450周年纪念酒定制礼盒/3个</v>
          </cell>
          <cell r="L67" t="str">
            <v>054-03-C-15-09-04-丙</v>
          </cell>
          <cell r="M67" t="str">
            <v>件</v>
          </cell>
          <cell r="N67">
            <v>7</v>
          </cell>
          <cell r="O67">
            <v>12</v>
          </cell>
        </row>
        <row r="68">
          <cell r="J68" t="str">
            <v>40005091</v>
          </cell>
          <cell r="K68" t="str">
            <v>52国窖1573酒鸿运568/500ml*6</v>
          </cell>
          <cell r="L68" t="str">
            <v>054-03-C-15-10-01-丙</v>
          </cell>
          <cell r="M68" t="str">
            <v>件</v>
          </cell>
          <cell r="N68">
            <v>0.167</v>
          </cell>
          <cell r="O68">
            <v>24</v>
          </cell>
        </row>
        <row r="69">
          <cell r="J69" t="str">
            <v>40016013</v>
          </cell>
          <cell r="K69" t="str">
            <v>52国窖1573艺术新春酒（东风面张晓刚版）500ml*6</v>
          </cell>
          <cell r="L69" t="str">
            <v>054-03-C-15-10-01-丙</v>
          </cell>
          <cell r="M69" t="str">
            <v>件</v>
          </cell>
          <cell r="N69">
            <v>9</v>
          </cell>
          <cell r="O69">
            <v>32</v>
          </cell>
        </row>
        <row r="70">
          <cell r="J70" t="str">
            <v>40015487</v>
          </cell>
          <cell r="K70" t="str">
            <v>52国窖1573酒签名限量版（林天学大师）3L*1</v>
          </cell>
          <cell r="L70" t="str">
            <v>054-03-C-15-10-03-丙</v>
          </cell>
          <cell r="M70" t="str">
            <v>件</v>
          </cell>
          <cell r="N70">
            <v>22</v>
          </cell>
          <cell r="O70">
            <v>24</v>
          </cell>
        </row>
        <row r="71">
          <cell r="J71" t="str">
            <v>40019827</v>
          </cell>
          <cell r="K71" t="str">
            <v>38国窖1573酒2026阿根廷国家足球队官方纪念酒五码装100ml*12</v>
          </cell>
          <cell r="L71" t="str">
            <v>054-03-C-15-10-04-丙</v>
          </cell>
          <cell r="M71" t="str">
            <v>件</v>
          </cell>
          <cell r="N71">
            <v>15.833</v>
          </cell>
          <cell r="O71">
            <v>40</v>
          </cell>
        </row>
        <row r="72">
          <cell r="J72" t="str">
            <v>40017266</v>
          </cell>
          <cell r="K72" t="str">
            <v>52国窖1573酒（2022版品鉴用酒）485ml*4*2</v>
          </cell>
          <cell r="L72" t="str">
            <v>054-03-C-15-11-01-丙</v>
          </cell>
          <cell r="M72" t="str">
            <v>件</v>
          </cell>
          <cell r="N72">
            <v>6.75</v>
          </cell>
          <cell r="O72">
            <v>28</v>
          </cell>
        </row>
        <row r="73">
          <cell r="J73" t="str">
            <v>40017032</v>
          </cell>
          <cell r="K73" t="str">
            <v>56国窖1573酒1573国宝窖池群持续酿造450周年纪念/惟尊1.573L*1</v>
          </cell>
          <cell r="L73" t="str">
            <v>054-03-C-15-11-02-丙</v>
          </cell>
          <cell r="M73" t="str">
            <v>件</v>
          </cell>
          <cell r="N73">
            <v>4</v>
          </cell>
          <cell r="O73">
            <v>24</v>
          </cell>
        </row>
        <row r="74">
          <cell r="J74" t="str">
            <v>40003560</v>
          </cell>
          <cell r="K74" t="str">
            <v>38国窖1573酒2010版500ml*6</v>
          </cell>
          <cell r="L74" t="str">
            <v>054-03-C-15-12-01-丙</v>
          </cell>
          <cell r="M74" t="str">
            <v>件</v>
          </cell>
          <cell r="N74">
            <v>3.333</v>
          </cell>
          <cell r="O74">
            <v>32</v>
          </cell>
        </row>
        <row r="75">
          <cell r="J75" t="str">
            <v>40017267</v>
          </cell>
          <cell r="K75" t="str">
            <v>38国窖1573酒（2022版品鉴用酒）485ml*4*2</v>
          </cell>
          <cell r="L75" t="str">
            <v>054-03-C-15-13-01-丙</v>
          </cell>
          <cell r="M75" t="str">
            <v>件</v>
          </cell>
          <cell r="N75">
            <v>4.125</v>
          </cell>
          <cell r="O75">
            <v>28</v>
          </cell>
        </row>
        <row r="76">
          <cell r="J76" t="str">
            <v>50006463</v>
          </cell>
          <cell r="K76" t="str">
            <v>国窖1573水晶烟缸/10个</v>
          </cell>
          <cell r="L76" t="str">
            <v>054-03-C-15-13-02-丙</v>
          </cell>
          <cell r="M76" t="str">
            <v>件</v>
          </cell>
          <cell r="N76">
            <v>40</v>
          </cell>
          <cell r="O76">
            <v>40</v>
          </cell>
        </row>
        <row r="77">
          <cell r="J77" t="str">
            <v>1329</v>
          </cell>
          <cell r="K77" t="str">
            <v>美丽湖北小酒礼盒(包材)</v>
          </cell>
          <cell r="L77" t="str">
            <v>054-03-C-15-13-05-丙</v>
          </cell>
          <cell r="M77" t="str">
            <v>件</v>
          </cell>
          <cell r="N77">
            <v>8.4</v>
          </cell>
          <cell r="O77">
            <v>12</v>
          </cell>
        </row>
        <row r="78">
          <cell r="J78" t="str">
            <v>1299</v>
          </cell>
          <cell r="K78" t="str">
            <v>国窖1573酒杯组件 /288个</v>
          </cell>
          <cell r="L78" t="str">
            <v>054-03-C-15-14-04-丙</v>
          </cell>
          <cell r="M78" t="str">
            <v>件</v>
          </cell>
          <cell r="N78">
            <v>40</v>
          </cell>
          <cell r="O78">
            <v>40</v>
          </cell>
        </row>
        <row r="79">
          <cell r="J79" t="str">
            <v>50021586</v>
          </cell>
          <cell r="K79" t="str">
            <v>国窖1573.天圆地方杯（湖北）/18个</v>
          </cell>
          <cell r="L79" t="str">
            <v>054-03-C-15-15-01-丙</v>
          </cell>
          <cell r="M79" t="str">
            <v>件</v>
          </cell>
          <cell r="N79">
            <v>0.389</v>
          </cell>
          <cell r="O79">
            <v>40</v>
          </cell>
        </row>
        <row r="80">
          <cell r="J80" t="str">
            <v>52001828</v>
          </cell>
          <cell r="K80" t="str">
            <v>国窖1573·品鉴餐具（2024版）/4个</v>
          </cell>
          <cell r="L80" t="str">
            <v>054-03-C-15-15-02-丙</v>
          </cell>
          <cell r="M80" t="str">
            <v>件</v>
          </cell>
          <cell r="N80">
            <v>8.75</v>
          </cell>
        </row>
        <row r="81">
          <cell r="J81" t="str">
            <v>20020</v>
          </cell>
          <cell r="K81" t="str">
            <v>定制化刺绣抱枕（蓝色）/1个</v>
          </cell>
          <cell r="L81" t="str">
            <v>054-03-C-15-16-01-丙</v>
          </cell>
          <cell r="M81" t="str">
            <v>件</v>
          </cell>
          <cell r="N81">
            <v>70</v>
          </cell>
          <cell r="O81">
            <v>200</v>
          </cell>
        </row>
        <row r="82">
          <cell r="J82" t="str">
            <v>20021</v>
          </cell>
          <cell r="K82" t="str">
            <v>定制化刺绣抱枕（白色）/1个</v>
          </cell>
          <cell r="L82" t="str">
            <v>054-03-C-15-17-01-丙</v>
          </cell>
          <cell r="M82" t="str">
            <v>件</v>
          </cell>
          <cell r="N82">
            <v>112</v>
          </cell>
          <cell r="O82">
            <v>200</v>
          </cell>
        </row>
        <row r="83">
          <cell r="J83" t="str">
            <v>52002552</v>
          </cell>
          <cell r="K83" t="str">
            <v>国窖1573·冰joys十二折冰饮杯/6个</v>
          </cell>
          <cell r="L83" t="str">
            <v>054-03-C-15-17-03-丙</v>
          </cell>
          <cell r="M83" t="str">
            <v>件</v>
          </cell>
          <cell r="N83">
            <v>12.333</v>
          </cell>
        </row>
        <row r="84">
          <cell r="J84" t="str">
            <v>2002</v>
          </cell>
          <cell r="K84" t="str">
            <v>真空保温杯</v>
          </cell>
          <cell r="L84" t="str">
            <v>054-03-C-15-18-01-丙</v>
          </cell>
          <cell r="M84" t="str">
            <v>件</v>
          </cell>
          <cell r="N84">
            <v>0.25</v>
          </cell>
        </row>
        <row r="85">
          <cell r="J85" t="str">
            <v>50006542</v>
          </cell>
          <cell r="K85" t="str">
            <v>国窖1573生肖雨伞/20个</v>
          </cell>
          <cell r="L85" t="str">
            <v>054-03-C-15-18-01-丙</v>
          </cell>
          <cell r="M85" t="str">
            <v>件</v>
          </cell>
          <cell r="N85">
            <v>0.05</v>
          </cell>
        </row>
        <row r="86">
          <cell r="J86" t="str">
            <v>52002550</v>
          </cell>
          <cell r="K86" t="str">
            <v>国窖1573·手握星辰餐具礼盒/2个</v>
          </cell>
          <cell r="L86" t="str">
            <v>054-03-C-15-18-01-丙</v>
          </cell>
          <cell r="M86" t="str">
            <v>件</v>
          </cell>
          <cell r="N86">
            <v>0.5</v>
          </cell>
        </row>
        <row r="87">
          <cell r="J87" t="str">
            <v>1308</v>
          </cell>
          <cell r="K87" t="str">
            <v>国窖1573分酒器组件 /96个</v>
          </cell>
          <cell r="L87" t="str">
            <v>054-03-C-15-18-02-丙</v>
          </cell>
          <cell r="M87" t="str">
            <v>件</v>
          </cell>
          <cell r="N87">
            <v>24</v>
          </cell>
          <cell r="O87">
            <v>30</v>
          </cell>
        </row>
        <row r="88">
          <cell r="J88" t="str">
            <v>40004166</v>
          </cell>
          <cell r="K88" t="str">
            <v>52国窖1573酒有机小酒50ml*40</v>
          </cell>
          <cell r="L88" t="str">
            <v>054-03-C-15-19-01-丙</v>
          </cell>
          <cell r="M88" t="str">
            <v>件</v>
          </cell>
          <cell r="N88">
            <v>0.075</v>
          </cell>
        </row>
        <row r="89">
          <cell r="J89" t="str">
            <v>40016121</v>
          </cell>
          <cell r="K89" t="str">
            <v>52国窖1573中国品味限量版品鉴用酒485ml*2*3</v>
          </cell>
          <cell r="L89" t="str">
            <v>054-03-C-15-19-01-丙</v>
          </cell>
          <cell r="M89" t="str">
            <v>件</v>
          </cell>
          <cell r="N89">
            <v>0.167</v>
          </cell>
          <cell r="O89">
            <v>28</v>
          </cell>
        </row>
        <row r="90">
          <cell r="J90" t="str">
            <v>40016122</v>
          </cell>
          <cell r="K90" t="str">
            <v>38国窖1573中国品味限量版品鉴用酒485ml*2*3</v>
          </cell>
          <cell r="L90" t="str">
            <v>054-03-C-15-19-01-丙</v>
          </cell>
          <cell r="M90" t="str">
            <v>件</v>
          </cell>
          <cell r="N90">
            <v>0.167</v>
          </cell>
          <cell r="O90">
            <v>28</v>
          </cell>
        </row>
        <row r="91">
          <cell r="J91" t="str">
            <v>52000666</v>
          </cell>
          <cell r="K91" t="str">
            <v>国窖1573·定制行李箱</v>
          </cell>
          <cell r="L91" t="str">
            <v>054-03-C-15-20-03-丙</v>
          </cell>
          <cell r="M91" t="str">
            <v>件</v>
          </cell>
          <cell r="N91">
            <v>5</v>
          </cell>
          <cell r="O91">
            <v>14</v>
          </cell>
        </row>
        <row r="92">
          <cell r="J92" t="str">
            <v>XTF40025</v>
          </cell>
          <cell r="K92" t="str">
            <v>发光酒座/1个</v>
          </cell>
          <cell r="L92" t="str">
            <v>054-03-C-15-20-05-丙</v>
          </cell>
          <cell r="M92" t="str">
            <v>件</v>
          </cell>
          <cell r="N92">
            <v>16</v>
          </cell>
          <cell r="O92">
            <v>16</v>
          </cell>
        </row>
        <row r="93">
          <cell r="J93" t="str">
            <v>20037366</v>
          </cell>
          <cell r="K93" t="str">
            <v>52度国窖1573酒(2022二维码装)500ML盒子</v>
          </cell>
          <cell r="L93" t="str">
            <v>054-03-C-15-21-03-丙</v>
          </cell>
          <cell r="M93" t="str">
            <v>件</v>
          </cell>
          <cell r="N93">
            <v>12.5</v>
          </cell>
          <cell r="O93">
            <v>24</v>
          </cell>
        </row>
        <row r="94">
          <cell r="J94" t="str">
            <v>20004</v>
          </cell>
          <cell r="K94" t="str">
            <v>国窖1573定制抽纸1X48</v>
          </cell>
          <cell r="L94" t="str">
            <v>054-03-C-15-21-05-丙</v>
          </cell>
          <cell r="M94" t="str">
            <v>件</v>
          </cell>
          <cell r="N94">
            <v>3</v>
          </cell>
          <cell r="O94">
            <v>12</v>
          </cell>
        </row>
        <row r="95">
          <cell r="J95" t="str">
            <v>50019703</v>
          </cell>
          <cell r="K95" t="str">
            <v>国窖1573*冰JOYS随心酒器（炫彩版）12套/件</v>
          </cell>
          <cell r="L95" t="str">
            <v>054-03-C-15-22-04-丙</v>
          </cell>
          <cell r="M95" t="str">
            <v>件</v>
          </cell>
          <cell r="N95">
            <v>11.333</v>
          </cell>
          <cell r="O95">
            <v>18</v>
          </cell>
        </row>
        <row r="96">
          <cell r="J96" t="str">
            <v>40016148</v>
          </cell>
          <cell r="K96" t="str">
            <v>52百年泸州老窖窖龄酒90年（2017版盖内码装）500ml*6</v>
          </cell>
          <cell r="L96" t="str">
            <v>054-03-C-15-26-01-丙</v>
          </cell>
          <cell r="M96" t="str">
            <v>件</v>
          </cell>
          <cell r="N96">
            <v>0.833</v>
          </cell>
          <cell r="O96">
            <v>32</v>
          </cell>
        </row>
        <row r="97">
          <cell r="J97" t="str">
            <v>40016716</v>
          </cell>
          <cell r="K97" t="str">
            <v>52百年泸州老窖窖龄酒30年（2017版五码装）500ml*6</v>
          </cell>
          <cell r="L97" t="str">
            <v>054-03-C-15-26-01-丙</v>
          </cell>
          <cell r="M97" t="str">
            <v>件</v>
          </cell>
          <cell r="N97">
            <v>5</v>
          </cell>
          <cell r="O97">
            <v>32</v>
          </cell>
        </row>
        <row r="98">
          <cell r="J98" t="str">
            <v>5151FGBT</v>
          </cell>
          <cell r="K98" t="str">
            <v>窖龄酒发光冰桶</v>
          </cell>
          <cell r="L98" t="str">
            <v>054-03-C-15-26-01-丙</v>
          </cell>
          <cell r="M98" t="str">
            <v>件</v>
          </cell>
          <cell r="N98">
            <v>1</v>
          </cell>
        </row>
        <row r="99">
          <cell r="J99" t="str">
            <v>JL5151001</v>
          </cell>
          <cell r="K99" t="str">
            <v>窖龄分酒器</v>
          </cell>
          <cell r="L99" t="str">
            <v>054-03-C-15-26-01-丙</v>
          </cell>
          <cell r="M99" t="str">
            <v>件</v>
          </cell>
          <cell r="N99">
            <v>1</v>
          </cell>
        </row>
        <row r="100">
          <cell r="J100" t="str">
            <v>JL5151002</v>
          </cell>
          <cell r="K100" t="str">
            <v>窖龄小酒杯</v>
          </cell>
          <cell r="L100" t="str">
            <v>054-03-C-15-26-01-丙</v>
          </cell>
          <cell r="M100" t="str">
            <v>件</v>
          </cell>
          <cell r="N100">
            <v>1</v>
          </cell>
        </row>
        <row r="101">
          <cell r="J101" t="str">
            <v>JL5151011</v>
          </cell>
          <cell r="K101" t="str">
            <v>立牌</v>
          </cell>
          <cell r="L101" t="str">
            <v>054-03-C-15-26-01-丙</v>
          </cell>
          <cell r="M101" t="str">
            <v>件</v>
          </cell>
          <cell r="N101">
            <v>1</v>
          </cell>
        </row>
        <row r="102">
          <cell r="J102" t="str">
            <v>JL5151040</v>
          </cell>
          <cell r="K102" t="str">
            <v>泸州老窖酒杯</v>
          </cell>
          <cell r="L102" t="str">
            <v>054-03-C-15-26-01-丙</v>
          </cell>
          <cell r="M102" t="str">
            <v>件</v>
          </cell>
          <cell r="N102">
            <v>1</v>
          </cell>
        </row>
        <row r="103">
          <cell r="J103" t="str">
            <v>JL5151066</v>
          </cell>
          <cell r="K103" t="str">
            <v>泸州老窖分酒器</v>
          </cell>
          <cell r="L103" t="str">
            <v>054-03-C-15-26-01-丙</v>
          </cell>
          <cell r="M103" t="str">
            <v>件</v>
          </cell>
          <cell r="N103">
            <v>1</v>
          </cell>
        </row>
        <row r="104">
          <cell r="J104" t="str">
            <v>40018636</v>
          </cell>
          <cell r="K104" t="str">
            <v>52百年泸州老窖窖龄酒60年（2017版品鉴用酒五码装）485ml*4*2</v>
          </cell>
          <cell r="L104" t="str">
            <v>054-03-C-15-26-02-丙</v>
          </cell>
          <cell r="M104" t="str">
            <v>件</v>
          </cell>
          <cell r="N104">
            <v>15</v>
          </cell>
          <cell r="O104">
            <v>28</v>
          </cell>
        </row>
        <row r="105">
          <cell r="J105" t="str">
            <v>40016720</v>
          </cell>
          <cell r="K105" t="str">
            <v>52百年泸州老窖窖龄酒60年（2017版五码装）500ml*6</v>
          </cell>
          <cell r="L105" t="str">
            <v>054-03-C-15-26-03-丙</v>
          </cell>
          <cell r="M105" t="str">
            <v>件</v>
          </cell>
          <cell r="N105">
            <v>30</v>
          </cell>
          <cell r="O105">
            <v>32</v>
          </cell>
        </row>
        <row r="106">
          <cell r="J106" t="str">
            <v>40013371</v>
          </cell>
          <cell r="K106" t="str">
            <v>43百年泸州老窖窖龄酒30年（2017版）500ml*6</v>
          </cell>
          <cell r="L106" t="str">
            <v>054-03-C-15-26-04-丙</v>
          </cell>
          <cell r="M106" t="str">
            <v>件</v>
          </cell>
          <cell r="N106">
            <v>30</v>
          </cell>
          <cell r="O106">
            <v>30</v>
          </cell>
        </row>
        <row r="107">
          <cell r="J107" t="str">
            <v>40015794-H-0000</v>
          </cell>
          <cell r="K107" t="str">
            <v>52测试装B6(2020版)酒100ml*6*4</v>
          </cell>
          <cell r="L107" t="str">
            <v>054-03-C-15-27-01-丙</v>
          </cell>
          <cell r="M107" t="str">
            <v>件</v>
          </cell>
          <cell r="N107">
            <v>17.75</v>
          </cell>
          <cell r="O107">
            <v>40</v>
          </cell>
        </row>
        <row r="108">
          <cell r="J108" t="str">
            <v>40016715</v>
          </cell>
          <cell r="K108" t="str">
            <v>43百年泸州老窖窖龄酒30年（2017版五码装）500ml*6</v>
          </cell>
          <cell r="L108" t="str">
            <v>054-03-C-15-27-02-丙</v>
          </cell>
          <cell r="M108" t="str">
            <v>件</v>
          </cell>
          <cell r="N108">
            <v>21</v>
          </cell>
          <cell r="O108">
            <v>32</v>
          </cell>
        </row>
        <row r="109">
          <cell r="J109" t="str">
            <v>40013367</v>
          </cell>
          <cell r="K109" t="str">
            <v>52百年泸州老窖窖龄酒60年（2017版）500ml*6</v>
          </cell>
          <cell r="L109" t="str">
            <v>054-03-C-15-28-01-丙</v>
          </cell>
          <cell r="M109" t="str">
            <v>件</v>
          </cell>
          <cell r="N109">
            <v>0.5</v>
          </cell>
          <cell r="O109">
            <v>32</v>
          </cell>
        </row>
        <row r="110">
          <cell r="J110" t="str">
            <v>40015524</v>
          </cell>
          <cell r="K110" t="str">
            <v>52百年泸州老窖窖龄酒60年（2017版品鉴用酒二维码装）485ml*4*2</v>
          </cell>
          <cell r="L110" t="str">
            <v>054-03-C-15-28-01-丙</v>
          </cell>
          <cell r="M110" t="str">
            <v>件</v>
          </cell>
          <cell r="N110">
            <v>2</v>
          </cell>
          <cell r="O110">
            <v>28</v>
          </cell>
        </row>
        <row r="111">
          <cell r="J111" t="str">
            <v>40016145</v>
          </cell>
          <cell r="K111" t="str">
            <v>43百年泸州老窖窖龄酒60年（2017版盖内码装）500ml*6</v>
          </cell>
          <cell r="L111" t="str">
            <v>054-03-C-15-28-01-丙</v>
          </cell>
          <cell r="M111" t="str">
            <v>件</v>
          </cell>
          <cell r="N111">
            <v>0.667</v>
          </cell>
          <cell r="O111">
            <v>32</v>
          </cell>
        </row>
        <row r="112">
          <cell r="J112" t="str">
            <v>40016152</v>
          </cell>
          <cell r="K112" t="str">
            <v>52百年泸州老窖窖龄酒30年（2017版盖内码装）500ml*6</v>
          </cell>
          <cell r="L112" t="str">
            <v>054-03-C-15-28-01-丙</v>
          </cell>
          <cell r="M112" t="str">
            <v>件</v>
          </cell>
          <cell r="N112">
            <v>0.167</v>
          </cell>
          <cell r="O112">
            <v>32</v>
          </cell>
        </row>
        <row r="113">
          <cell r="J113" t="str">
            <v>50015132</v>
          </cell>
          <cell r="K113" t="str">
            <v>希拉谷收藏红葡萄酒（大支装）1500ML瓦楞纸外箱</v>
          </cell>
          <cell r="L113" t="str">
            <v>054-03-C-15-28-01-丙</v>
          </cell>
          <cell r="M113" t="str">
            <v>件</v>
          </cell>
          <cell r="N113">
            <v>6</v>
          </cell>
        </row>
        <row r="114">
          <cell r="J114" t="str">
            <v>40012749</v>
          </cell>
          <cell r="K114" t="str">
            <v>38百年泸州老窖窖龄酒90年（2017版）500ml*6</v>
          </cell>
          <cell r="L114" t="str">
            <v>054-03-C-15-29-01-丙</v>
          </cell>
          <cell r="M114" t="str">
            <v>件</v>
          </cell>
          <cell r="N114">
            <v>6</v>
          </cell>
          <cell r="O114">
            <v>32</v>
          </cell>
        </row>
        <row r="115">
          <cell r="J115" t="str">
            <v>40013369</v>
          </cell>
          <cell r="K115" t="str">
            <v>38百年泸州老窖窖龄酒60年（2017版）500ml*6</v>
          </cell>
          <cell r="L115" t="str">
            <v>054-03-C-15-29-01-丙</v>
          </cell>
          <cell r="M115" t="str">
            <v>件</v>
          </cell>
          <cell r="N115">
            <v>5.833</v>
          </cell>
          <cell r="O115">
            <v>30</v>
          </cell>
        </row>
        <row r="116">
          <cell r="J116" t="str">
            <v>40013370</v>
          </cell>
          <cell r="K116" t="str">
            <v>38百年泸州老窖窖龄酒30年（2017版）500ml*6</v>
          </cell>
          <cell r="L116" t="str">
            <v>054-03-C-15-29-01-丙</v>
          </cell>
          <cell r="M116" t="str">
            <v>件</v>
          </cell>
          <cell r="N116">
            <v>5</v>
          </cell>
          <cell r="O116">
            <v>32</v>
          </cell>
        </row>
        <row r="117">
          <cell r="J117" t="str">
            <v>40013620</v>
          </cell>
          <cell r="K117" t="str">
            <v>43百年泸州老窖窖龄酒60年（2017版品鉴用酒）485ml*4*2</v>
          </cell>
          <cell r="L117" t="str">
            <v>054-03-C-15-29-02-丙</v>
          </cell>
          <cell r="M117" t="str">
            <v>件</v>
          </cell>
          <cell r="N117">
            <v>16</v>
          </cell>
          <cell r="O117">
            <v>28</v>
          </cell>
        </row>
        <row r="118">
          <cell r="J118" t="str">
            <v>40016719</v>
          </cell>
          <cell r="K118" t="str">
            <v>43百年泸州老窖窖龄酒60年（2017版五码装）500ml*6</v>
          </cell>
          <cell r="L118" t="str">
            <v>054-03-C-15-31-01-丙</v>
          </cell>
          <cell r="M118" t="str">
            <v>件</v>
          </cell>
          <cell r="N118">
            <v>28</v>
          </cell>
          <cell r="O118">
            <v>32</v>
          </cell>
        </row>
        <row r="119">
          <cell r="J119" t="str">
            <v>40013468</v>
          </cell>
          <cell r="K119" t="str">
            <v>52百年泸州老窖窖龄酒60年（2017版）125ml*24</v>
          </cell>
          <cell r="L119" t="str">
            <v>054-03-C-15-32-01-丙</v>
          </cell>
          <cell r="M119" t="str">
            <v>件</v>
          </cell>
          <cell r="N119">
            <v>1</v>
          </cell>
          <cell r="O119">
            <v>32</v>
          </cell>
        </row>
        <row r="120">
          <cell r="J120" t="str">
            <v>40013506</v>
          </cell>
          <cell r="K120" t="str">
            <v>52百年泸州老窖窖龄90年（2017版品鉴用酒）485ml*4*2</v>
          </cell>
          <cell r="L120" t="str">
            <v>054-03-C-15-32-01-丙</v>
          </cell>
          <cell r="M120" t="str">
            <v>件</v>
          </cell>
          <cell r="N120">
            <v>1</v>
          </cell>
          <cell r="O120">
            <v>28</v>
          </cell>
        </row>
        <row r="121">
          <cell r="J121" t="str">
            <v>40014196</v>
          </cell>
          <cell r="K121" t="str">
            <v>52百年泸州老窖窖龄酒60年（2017版）3L*1</v>
          </cell>
          <cell r="L121" t="str">
            <v>054-03-C-15-32-01-丙</v>
          </cell>
          <cell r="M121" t="str">
            <v>件</v>
          </cell>
          <cell r="N121">
            <v>1</v>
          </cell>
          <cell r="O121">
            <v>16</v>
          </cell>
        </row>
        <row r="122">
          <cell r="J122" t="str">
            <v>40016146</v>
          </cell>
          <cell r="K122" t="str">
            <v>52百年泸州老窖窖龄酒60年（2017版盖内码装）500ml*6</v>
          </cell>
          <cell r="L122" t="str">
            <v>054-03-C-15-32-01-丙</v>
          </cell>
          <cell r="M122" t="str">
            <v>件</v>
          </cell>
          <cell r="N122">
            <v>0.833</v>
          </cell>
          <cell r="O122">
            <v>32</v>
          </cell>
        </row>
        <row r="123">
          <cell r="J123" t="str">
            <v>40014185</v>
          </cell>
          <cell r="K123" t="str">
            <v>52百年泸州老窖窖龄酒90年（2017版）3L*1</v>
          </cell>
          <cell r="L123" t="str">
            <v>054-03-C-15-33-01-丙</v>
          </cell>
          <cell r="M123" t="str">
            <v>件</v>
          </cell>
          <cell r="N123">
            <v>1</v>
          </cell>
          <cell r="O123">
            <v>16</v>
          </cell>
        </row>
        <row r="124">
          <cell r="J124" t="str">
            <v>40016718</v>
          </cell>
          <cell r="K124" t="str">
            <v>38百年泸州老窖窖龄酒60年（2017版五码装）500ml*6</v>
          </cell>
          <cell r="L124" t="str">
            <v>054-03-C-15-36-01-丙</v>
          </cell>
          <cell r="M124" t="str">
            <v>件</v>
          </cell>
          <cell r="N124">
            <v>27.333</v>
          </cell>
          <cell r="O124">
            <v>32</v>
          </cell>
        </row>
        <row r="125">
          <cell r="J125" t="str">
            <v>40015488</v>
          </cell>
          <cell r="K125" t="str">
            <v>52国窖1573酒签名限量版（林天学大师）1.5L*2</v>
          </cell>
          <cell r="L125" t="str">
            <v>054-03-C-15-45-01-丙</v>
          </cell>
          <cell r="M125" t="str">
            <v>件</v>
          </cell>
          <cell r="N125">
            <v>11.5</v>
          </cell>
          <cell r="O125">
            <v>14</v>
          </cell>
        </row>
        <row r="126">
          <cell r="J126" t="str">
            <v>40017245</v>
          </cell>
          <cell r="K126" t="str">
            <v>38国窖1573酒国宝红品鉴用酒500ml*2*3</v>
          </cell>
          <cell r="L126" t="str">
            <v>054-03-C-15-45-03-丙</v>
          </cell>
          <cell r="M126" t="str">
            <v>件</v>
          </cell>
          <cell r="N126">
            <v>5</v>
          </cell>
          <cell r="O126">
            <v>32</v>
          </cell>
        </row>
        <row r="127">
          <cell r="J127" t="str">
            <v>20022</v>
          </cell>
          <cell r="K127" t="str">
            <v>定制50英寸立式广告机 /1个</v>
          </cell>
          <cell r="L127" t="str">
            <v>E001</v>
          </cell>
          <cell r="M127" t="str">
            <v>件</v>
          </cell>
          <cell r="N127">
            <v>36</v>
          </cell>
          <cell r="O127">
            <v>1</v>
          </cell>
        </row>
        <row r="128">
          <cell r="J128" t="str">
            <v>50018397</v>
          </cell>
          <cell r="K128" t="str">
            <v>国窖1573精品酒架（2020版）</v>
          </cell>
          <cell r="L128" t="str">
            <v>E001</v>
          </cell>
          <cell r="M128" t="str">
            <v>件</v>
          </cell>
          <cell r="N128">
            <v>53</v>
          </cell>
          <cell r="O128">
            <v>6</v>
          </cell>
        </row>
        <row r="129">
          <cell r="J129" t="str">
            <v>总计</v>
          </cell>
        </row>
        <row r="129">
          <cell r="N129">
            <v>4743.617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162"/>
  <sheetViews>
    <sheetView tabSelected="1" workbookViewId="0">
      <selection activeCell="W170" sqref="W170"/>
    </sheetView>
  </sheetViews>
  <sheetFormatPr defaultColWidth="9" defaultRowHeight="13.5"/>
  <cols>
    <col min="1" max="1" width="9" style="1"/>
    <col min="2" max="2" width="16.25" style="1" customWidth="1"/>
    <col min="3" max="3" width="33" style="1" customWidth="1"/>
    <col min="4" max="4" width="18.125" style="1" customWidth="1"/>
    <col min="5" max="5" width="40.125" style="1" customWidth="1"/>
    <col min="6" max="6" width="9.625" style="1" customWidth="1"/>
    <col min="7" max="7" width="10.875" style="1" customWidth="1"/>
    <col min="8" max="8" width="7.625" style="1" customWidth="1"/>
    <col min="9" max="9" width="14.75" style="1" customWidth="1"/>
    <col min="10" max="10" width="15" style="1" customWidth="1"/>
    <col min="11" max="13" width="11.875" style="1" customWidth="1"/>
    <col min="14" max="14" width="14.75" style="1" customWidth="1"/>
    <col min="15" max="15" width="13.25" style="1" customWidth="1"/>
    <col min="16" max="16" width="7.625" style="1" customWidth="1"/>
    <col min="17" max="17" width="13.25" style="1" customWidth="1"/>
    <col min="18" max="19" width="15.375" style="1" customWidth="1"/>
    <col min="20" max="20" width="13.25" style="1" customWidth="1"/>
    <col min="21" max="21" width="7.625" style="1" customWidth="1"/>
    <col min="22" max="22" width="13.25" style="1" customWidth="1"/>
    <col min="23" max="23" width="21.625" style="2" customWidth="1"/>
    <col min="24" max="16384" width="9" style="1"/>
  </cols>
  <sheetData>
    <row r="1" s="1" customFormat="1" ht="18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15</v>
      </c>
      <c r="V1" s="4" t="s">
        <v>20</v>
      </c>
      <c r="W1" s="5" t="s">
        <v>21</v>
      </c>
    </row>
    <row r="2" s="1" customFormat="1" ht="16.5" spans="1:23">
      <c r="A2" s="6">
        <v>249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7">
        <v>1.6</v>
      </c>
      <c r="J2" s="7">
        <v>0</v>
      </c>
      <c r="K2" s="7">
        <v>0</v>
      </c>
      <c r="L2" s="7">
        <v>0</v>
      </c>
      <c r="M2" s="7">
        <v>0</v>
      </c>
      <c r="N2" s="7">
        <v>1.6</v>
      </c>
      <c r="O2" s="7" t="s">
        <v>28</v>
      </c>
      <c r="P2" s="7">
        <v>1</v>
      </c>
      <c r="Q2" s="7" t="s">
        <v>28</v>
      </c>
      <c r="R2" s="7" t="s">
        <v>26</v>
      </c>
      <c r="S2" s="7" t="s">
        <v>26</v>
      </c>
      <c r="T2" s="7"/>
      <c r="U2" s="7"/>
      <c r="V2" s="7"/>
      <c r="W2" s="8" t="s">
        <v>29</v>
      </c>
    </row>
    <row r="3" s="1" customFormat="1" ht="16.5" spans="1:23">
      <c r="A3" s="6">
        <v>271</v>
      </c>
      <c r="B3" s="6" t="s">
        <v>22</v>
      </c>
      <c r="C3" s="6" t="s">
        <v>23</v>
      </c>
      <c r="D3" s="6" t="s">
        <v>30</v>
      </c>
      <c r="E3" s="6" t="s">
        <v>31</v>
      </c>
      <c r="F3" s="6" t="s">
        <v>26</v>
      </c>
      <c r="G3" s="6" t="s">
        <v>32</v>
      </c>
      <c r="H3" s="6" t="s">
        <v>33</v>
      </c>
      <c r="I3" s="7">
        <v>1.15</v>
      </c>
      <c r="J3" s="7">
        <v>0</v>
      </c>
      <c r="K3" s="7">
        <v>0</v>
      </c>
      <c r="L3" s="7">
        <v>0</v>
      </c>
      <c r="M3" s="7">
        <v>0</v>
      </c>
      <c r="N3" s="7">
        <v>1.15</v>
      </c>
      <c r="O3" s="7" t="s">
        <v>33</v>
      </c>
      <c r="P3" s="7">
        <v>1</v>
      </c>
      <c r="Q3" s="7" t="s">
        <v>33</v>
      </c>
      <c r="R3" s="7" t="s">
        <v>26</v>
      </c>
      <c r="S3" s="7" t="s">
        <v>26</v>
      </c>
      <c r="T3" s="7" t="s">
        <v>33</v>
      </c>
      <c r="U3" s="7">
        <v>120</v>
      </c>
      <c r="V3" s="7" t="s">
        <v>34</v>
      </c>
      <c r="W3" s="8">
        <f xml:space="preserve">VLOOKUP(D3,[1]sheet!$J:$O,6,0)</f>
        <v>20</v>
      </c>
    </row>
    <row r="4" s="1" customFormat="1" ht="16.5" spans="1:23">
      <c r="A4" s="6">
        <v>239</v>
      </c>
      <c r="B4" s="6" t="s">
        <v>22</v>
      </c>
      <c r="C4" s="6" t="s">
        <v>23</v>
      </c>
      <c r="D4" s="6" t="s">
        <v>35</v>
      </c>
      <c r="E4" s="6" t="s">
        <v>36</v>
      </c>
      <c r="F4" s="6" t="s">
        <v>26</v>
      </c>
      <c r="G4" s="6" t="s">
        <v>37</v>
      </c>
      <c r="H4" s="6" t="s">
        <v>38</v>
      </c>
      <c r="I4" s="7">
        <v>0.3</v>
      </c>
      <c r="J4" s="7">
        <v>0</v>
      </c>
      <c r="K4" s="7">
        <v>0</v>
      </c>
      <c r="L4" s="7">
        <v>0</v>
      </c>
      <c r="M4" s="7">
        <v>0</v>
      </c>
      <c r="N4" s="7">
        <v>0.3</v>
      </c>
      <c r="O4" s="7" t="s">
        <v>38</v>
      </c>
      <c r="P4" s="7">
        <v>1</v>
      </c>
      <c r="Q4" s="7" t="s">
        <v>34</v>
      </c>
      <c r="R4" s="7" t="s">
        <v>39</v>
      </c>
      <c r="S4" s="7" t="s">
        <v>39</v>
      </c>
      <c r="T4" s="7"/>
      <c r="U4" s="7"/>
      <c r="V4" s="7"/>
      <c r="W4" s="8">
        <f xml:space="preserve">VLOOKUP(D4,[1]sheet!$J:$O,6,0)</f>
        <v>4</v>
      </c>
    </row>
    <row r="5" s="1" customFormat="1" ht="16.5" spans="1:23">
      <c r="A5" s="6">
        <v>247</v>
      </c>
      <c r="B5" s="6" t="s">
        <v>22</v>
      </c>
      <c r="C5" s="6" t="s">
        <v>23</v>
      </c>
      <c r="D5" s="6" t="s">
        <v>40</v>
      </c>
      <c r="E5" s="6" t="s">
        <v>41</v>
      </c>
      <c r="F5" s="6" t="s">
        <v>26</v>
      </c>
      <c r="G5" s="6" t="s">
        <v>42</v>
      </c>
      <c r="H5" s="6" t="s">
        <v>33</v>
      </c>
      <c r="I5" s="7">
        <v>2.4</v>
      </c>
      <c r="J5" s="7">
        <v>0</v>
      </c>
      <c r="K5" s="7">
        <v>0</v>
      </c>
      <c r="L5" s="7">
        <v>0</v>
      </c>
      <c r="M5" s="7">
        <v>0</v>
      </c>
      <c r="N5" s="7">
        <v>2.4</v>
      </c>
      <c r="O5" s="7" t="s">
        <v>33</v>
      </c>
      <c r="P5" s="7">
        <v>1</v>
      </c>
      <c r="Q5" s="7" t="s">
        <v>33</v>
      </c>
      <c r="R5" s="7" t="s">
        <v>26</v>
      </c>
      <c r="S5" s="7" t="s">
        <v>26</v>
      </c>
      <c r="T5" s="7" t="s">
        <v>33</v>
      </c>
      <c r="U5" s="7">
        <v>4</v>
      </c>
      <c r="V5" s="7" t="s">
        <v>34</v>
      </c>
      <c r="W5" s="8">
        <f xml:space="preserve">VLOOKUP(D5,[1]sheet!$J:$O,6,0)</f>
        <v>9</v>
      </c>
    </row>
    <row r="6" s="1" customFormat="1" ht="16.5" spans="1:23">
      <c r="A6" s="6">
        <v>190</v>
      </c>
      <c r="B6" s="6" t="s">
        <v>22</v>
      </c>
      <c r="C6" s="6" t="s">
        <v>43</v>
      </c>
      <c r="D6" s="6" t="s">
        <v>44</v>
      </c>
      <c r="E6" s="6" t="s">
        <v>45</v>
      </c>
      <c r="F6" s="6" t="s">
        <v>26</v>
      </c>
      <c r="G6" s="6" t="s">
        <v>46</v>
      </c>
      <c r="H6" s="6" t="s">
        <v>47</v>
      </c>
      <c r="I6" s="7">
        <v>8.2</v>
      </c>
      <c r="J6" s="7">
        <v>0</v>
      </c>
      <c r="K6" s="7">
        <v>0</v>
      </c>
      <c r="L6" s="7">
        <v>0</v>
      </c>
      <c r="M6" s="7">
        <v>0</v>
      </c>
      <c r="N6" s="7">
        <v>8.2</v>
      </c>
      <c r="O6" s="7" t="s">
        <v>47</v>
      </c>
      <c r="P6" s="7">
        <v>1</v>
      </c>
      <c r="Q6" s="7" t="s">
        <v>47</v>
      </c>
      <c r="R6" s="7" t="s">
        <v>26</v>
      </c>
      <c r="S6" s="7" t="s">
        <v>26</v>
      </c>
      <c r="T6" s="7" t="s">
        <v>47</v>
      </c>
      <c r="U6" s="7">
        <v>24</v>
      </c>
      <c r="V6" s="7" t="s">
        <v>34</v>
      </c>
      <c r="W6" s="8">
        <f xml:space="preserve">VLOOKUP(D6,[1]sheet!$J:$O,6,0)</f>
        <v>50</v>
      </c>
    </row>
    <row r="7" s="1" customFormat="1" ht="16.5" spans="1:23">
      <c r="A7" s="6">
        <v>125</v>
      </c>
      <c r="B7" s="6" t="s">
        <v>22</v>
      </c>
      <c r="C7" s="6" t="s">
        <v>23</v>
      </c>
      <c r="D7" s="6" t="s">
        <v>48</v>
      </c>
      <c r="E7" s="6" t="s">
        <v>49</v>
      </c>
      <c r="F7" s="6" t="s">
        <v>26</v>
      </c>
      <c r="G7" s="6" t="s">
        <v>50</v>
      </c>
      <c r="H7" s="6" t="s">
        <v>47</v>
      </c>
      <c r="I7" s="7">
        <v>7.7</v>
      </c>
      <c r="J7" s="7">
        <v>0</v>
      </c>
      <c r="K7" s="7">
        <v>0</v>
      </c>
      <c r="L7" s="7">
        <v>0</v>
      </c>
      <c r="M7" s="7">
        <v>0</v>
      </c>
      <c r="N7" s="7">
        <v>7.7</v>
      </c>
      <c r="O7" s="7" t="s">
        <v>47</v>
      </c>
      <c r="P7" s="7">
        <v>1</v>
      </c>
      <c r="Q7" s="7" t="s">
        <v>47</v>
      </c>
      <c r="R7" s="7" t="s">
        <v>26</v>
      </c>
      <c r="S7" s="7" t="s">
        <v>26</v>
      </c>
      <c r="T7" s="7" t="s">
        <v>47</v>
      </c>
      <c r="U7" s="7">
        <v>12</v>
      </c>
      <c r="V7" s="7" t="s">
        <v>34</v>
      </c>
      <c r="W7" s="8" t="s">
        <v>51</v>
      </c>
    </row>
    <row r="8" s="1" customFormat="1" ht="16.5" spans="1:23">
      <c r="A8" s="6">
        <v>126</v>
      </c>
      <c r="B8" s="6" t="s">
        <v>22</v>
      </c>
      <c r="C8" s="6" t="s">
        <v>23</v>
      </c>
      <c r="D8" s="6" t="s">
        <v>52</v>
      </c>
      <c r="E8" s="6" t="s">
        <v>53</v>
      </c>
      <c r="F8" s="6" t="s">
        <v>26</v>
      </c>
      <c r="G8" s="6" t="s">
        <v>54</v>
      </c>
      <c r="H8" s="6" t="s">
        <v>47</v>
      </c>
      <c r="I8" s="7">
        <v>9</v>
      </c>
      <c r="J8" s="7">
        <v>0</v>
      </c>
      <c r="K8" s="7">
        <v>0</v>
      </c>
      <c r="L8" s="7">
        <v>0</v>
      </c>
      <c r="M8" s="7">
        <v>0</v>
      </c>
      <c r="N8" s="7">
        <v>9</v>
      </c>
      <c r="O8" s="7" t="s">
        <v>47</v>
      </c>
      <c r="P8" s="7">
        <v>1</v>
      </c>
      <c r="Q8" s="7" t="s">
        <v>47</v>
      </c>
      <c r="R8" s="7" t="s">
        <v>39</v>
      </c>
      <c r="S8" s="7" t="s">
        <v>39</v>
      </c>
      <c r="T8" s="7"/>
      <c r="U8" s="7"/>
      <c r="V8" s="7"/>
      <c r="W8" s="8" t="s">
        <v>51</v>
      </c>
    </row>
    <row r="9" s="1" customFormat="1" ht="16.5" spans="1:23">
      <c r="A9" s="6">
        <v>213</v>
      </c>
      <c r="B9" s="6" t="s">
        <v>22</v>
      </c>
      <c r="C9" s="6" t="s">
        <v>55</v>
      </c>
      <c r="D9" s="6" t="s">
        <v>56</v>
      </c>
      <c r="E9" s="6" t="s">
        <v>57</v>
      </c>
      <c r="F9" s="6" t="s">
        <v>26</v>
      </c>
      <c r="G9" s="6" t="s">
        <v>58</v>
      </c>
      <c r="H9" s="6" t="s">
        <v>47</v>
      </c>
      <c r="I9" s="7">
        <v>10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 t="s">
        <v>47</v>
      </c>
      <c r="P9" s="7">
        <v>1</v>
      </c>
      <c r="Q9" s="7" t="s">
        <v>47</v>
      </c>
      <c r="R9" s="7" t="s">
        <v>26</v>
      </c>
      <c r="S9" s="7" t="s">
        <v>26</v>
      </c>
      <c r="T9" s="7" t="s">
        <v>47</v>
      </c>
      <c r="U9" s="7">
        <v>6</v>
      </c>
      <c r="V9" s="7" t="s">
        <v>34</v>
      </c>
      <c r="W9" s="8">
        <f xml:space="preserve">VLOOKUP(D9,[1]sheet!$J:$O,6,0)</f>
        <v>32</v>
      </c>
    </row>
    <row r="10" s="1" customFormat="1" ht="16.5" spans="1:23">
      <c r="A10" s="6">
        <v>229</v>
      </c>
      <c r="B10" s="6" t="s">
        <v>22</v>
      </c>
      <c r="C10" s="6" t="s">
        <v>55</v>
      </c>
      <c r="D10" s="6" t="s">
        <v>59</v>
      </c>
      <c r="E10" s="6" t="s">
        <v>60</v>
      </c>
      <c r="F10" s="6" t="s">
        <v>26</v>
      </c>
      <c r="G10" s="6" t="s">
        <v>58</v>
      </c>
      <c r="H10" s="6" t="s">
        <v>47</v>
      </c>
      <c r="I10" s="7">
        <v>10.2</v>
      </c>
      <c r="J10" s="7">
        <v>0</v>
      </c>
      <c r="K10" s="7">
        <v>0</v>
      </c>
      <c r="L10" s="7">
        <v>0</v>
      </c>
      <c r="M10" s="7">
        <v>0</v>
      </c>
      <c r="N10" s="7">
        <v>10.2</v>
      </c>
      <c r="O10" s="7" t="s">
        <v>47</v>
      </c>
      <c r="P10" s="7">
        <v>1</v>
      </c>
      <c r="Q10" s="7" t="s">
        <v>47</v>
      </c>
      <c r="R10" s="7" t="s">
        <v>26</v>
      </c>
      <c r="S10" s="7" t="s">
        <v>26</v>
      </c>
      <c r="T10" s="7" t="s">
        <v>47</v>
      </c>
      <c r="U10" s="7">
        <v>6</v>
      </c>
      <c r="V10" s="7" t="s">
        <v>34</v>
      </c>
      <c r="W10" s="8">
        <f xml:space="preserve">VLOOKUP(D10,[1]sheet!$J:$O,6,0)</f>
        <v>30</v>
      </c>
    </row>
    <row r="11" s="1" customFormat="1" ht="16.5" spans="1:23">
      <c r="A11" s="6">
        <v>225</v>
      </c>
      <c r="B11" s="6" t="s">
        <v>22</v>
      </c>
      <c r="C11" s="6" t="s">
        <v>55</v>
      </c>
      <c r="D11" s="6" t="s">
        <v>61</v>
      </c>
      <c r="E11" s="6" t="s">
        <v>62</v>
      </c>
      <c r="F11" s="6" t="s">
        <v>26</v>
      </c>
      <c r="G11" s="6" t="s">
        <v>58</v>
      </c>
      <c r="H11" s="6" t="s">
        <v>47</v>
      </c>
      <c r="I11" s="7">
        <v>10.2</v>
      </c>
      <c r="J11" s="7">
        <v>0</v>
      </c>
      <c r="K11" s="7">
        <v>0</v>
      </c>
      <c r="L11" s="7">
        <v>0</v>
      </c>
      <c r="M11" s="7">
        <v>0</v>
      </c>
      <c r="N11" s="7">
        <v>10.2</v>
      </c>
      <c r="O11" s="7" t="s">
        <v>47</v>
      </c>
      <c r="P11" s="7">
        <v>1</v>
      </c>
      <c r="Q11" s="7" t="s">
        <v>47</v>
      </c>
      <c r="R11" s="7" t="s">
        <v>26</v>
      </c>
      <c r="S11" s="7" t="s">
        <v>26</v>
      </c>
      <c r="T11" s="7" t="s">
        <v>47</v>
      </c>
      <c r="U11" s="7">
        <v>6</v>
      </c>
      <c r="V11" s="7" t="s">
        <v>34</v>
      </c>
      <c r="W11" s="8">
        <f xml:space="preserve">VLOOKUP(D11,[1]sheet!$J:$O,6,0)</f>
        <v>32</v>
      </c>
    </row>
    <row r="12" s="1" customFormat="1" ht="16.5" spans="1:23">
      <c r="A12" s="6">
        <v>216</v>
      </c>
      <c r="B12" s="6" t="s">
        <v>22</v>
      </c>
      <c r="C12" s="6" t="s">
        <v>55</v>
      </c>
      <c r="D12" s="6" t="s">
        <v>63</v>
      </c>
      <c r="E12" s="6" t="s">
        <v>64</v>
      </c>
      <c r="F12" s="6" t="s">
        <v>26</v>
      </c>
      <c r="G12" s="6" t="s">
        <v>58</v>
      </c>
      <c r="H12" s="6" t="s">
        <v>47</v>
      </c>
      <c r="I12" s="7">
        <v>11.1</v>
      </c>
      <c r="J12" s="7">
        <v>0</v>
      </c>
      <c r="K12" s="7">
        <v>0</v>
      </c>
      <c r="L12" s="7">
        <v>0</v>
      </c>
      <c r="M12" s="7">
        <v>0</v>
      </c>
      <c r="N12" s="7">
        <v>11.1</v>
      </c>
      <c r="O12" s="7" t="s">
        <v>47</v>
      </c>
      <c r="P12" s="7">
        <v>1</v>
      </c>
      <c r="Q12" s="7" t="s">
        <v>47</v>
      </c>
      <c r="R12" s="7" t="s">
        <v>26</v>
      </c>
      <c r="S12" s="7" t="s">
        <v>26</v>
      </c>
      <c r="T12" s="7" t="s">
        <v>47</v>
      </c>
      <c r="U12" s="7">
        <v>6</v>
      </c>
      <c r="V12" s="7" t="s">
        <v>34</v>
      </c>
      <c r="W12" s="8">
        <f xml:space="preserve">VLOOKUP(D12,[1]sheet!$J:$O,6,0)</f>
        <v>32</v>
      </c>
    </row>
    <row r="13" s="1" customFormat="1" ht="16.5" hidden="1" spans="1:23">
      <c r="A13" s="6">
        <v>41</v>
      </c>
      <c r="B13" s="6" t="s">
        <v>22</v>
      </c>
      <c r="C13" s="6" t="s">
        <v>65</v>
      </c>
      <c r="D13" s="6" t="s">
        <v>66</v>
      </c>
      <c r="E13" s="6" t="s">
        <v>67</v>
      </c>
      <c r="F13" s="6" t="s">
        <v>26</v>
      </c>
      <c r="G13" s="6" t="s">
        <v>68</v>
      </c>
      <c r="H13" s="6" t="s">
        <v>47</v>
      </c>
      <c r="I13" s="7">
        <v>10.5</v>
      </c>
      <c r="J13" s="7">
        <v>0.03219664</v>
      </c>
      <c r="K13" s="7">
        <v>0.445</v>
      </c>
      <c r="L13" s="7">
        <v>0.238</v>
      </c>
      <c r="M13" s="7">
        <v>0.304</v>
      </c>
      <c r="N13" s="7">
        <v>10.5</v>
      </c>
      <c r="O13" s="7" t="s">
        <v>47</v>
      </c>
      <c r="P13" s="7">
        <v>1</v>
      </c>
      <c r="Q13" s="7" t="s">
        <v>47</v>
      </c>
      <c r="R13" s="7" t="s">
        <v>26</v>
      </c>
      <c r="S13" s="7" t="s">
        <v>26</v>
      </c>
      <c r="T13" s="7" t="s">
        <v>47</v>
      </c>
      <c r="U13" s="7">
        <v>8</v>
      </c>
      <c r="V13" s="7" t="s">
        <v>34</v>
      </c>
      <c r="W13" s="7"/>
    </row>
    <row r="14" s="1" customFormat="1" ht="16.5" spans="1:23">
      <c r="A14" s="6">
        <v>182</v>
      </c>
      <c r="B14" s="6" t="s">
        <v>22</v>
      </c>
      <c r="C14" s="6" t="s">
        <v>43</v>
      </c>
      <c r="D14" s="6" t="s">
        <v>66</v>
      </c>
      <c r="E14" s="6" t="s">
        <v>67</v>
      </c>
      <c r="F14" s="6" t="s">
        <v>26</v>
      </c>
      <c r="G14" s="6" t="s">
        <v>68</v>
      </c>
      <c r="H14" s="6" t="s">
        <v>47</v>
      </c>
      <c r="I14" s="7">
        <v>10.5</v>
      </c>
      <c r="J14" s="7">
        <v>0</v>
      </c>
      <c r="K14" s="7">
        <v>0</v>
      </c>
      <c r="L14" s="7">
        <v>0</v>
      </c>
      <c r="M14" s="7">
        <v>0</v>
      </c>
      <c r="N14" s="7">
        <v>10.5</v>
      </c>
      <c r="O14" s="7" t="s">
        <v>47</v>
      </c>
      <c r="P14" s="7">
        <v>1</v>
      </c>
      <c r="Q14" s="7" t="s">
        <v>47</v>
      </c>
      <c r="R14" s="7" t="s">
        <v>26</v>
      </c>
      <c r="S14" s="7" t="s">
        <v>26</v>
      </c>
      <c r="T14" s="7" t="s">
        <v>47</v>
      </c>
      <c r="U14" s="7">
        <v>8</v>
      </c>
      <c r="V14" s="7" t="s">
        <v>34</v>
      </c>
      <c r="W14" s="8">
        <f xml:space="preserve">VLOOKUP(D14,[1]sheet!$J:$O,6,0)</f>
        <v>28</v>
      </c>
    </row>
    <row r="15" s="1" customFormat="1" ht="16.5" spans="1:23">
      <c r="A15" s="6">
        <v>158</v>
      </c>
      <c r="B15" s="6" t="s">
        <v>22</v>
      </c>
      <c r="C15" s="6" t="s">
        <v>43</v>
      </c>
      <c r="D15" s="6" t="s">
        <v>69</v>
      </c>
      <c r="E15" s="6" t="s">
        <v>70</v>
      </c>
      <c r="F15" s="6" t="s">
        <v>26</v>
      </c>
      <c r="G15" s="6" t="s">
        <v>50</v>
      </c>
      <c r="H15" s="6" t="s">
        <v>47</v>
      </c>
      <c r="I15" s="7">
        <v>10.9</v>
      </c>
      <c r="J15" s="7">
        <v>0</v>
      </c>
      <c r="K15" s="7">
        <v>0</v>
      </c>
      <c r="L15" s="7">
        <v>0</v>
      </c>
      <c r="M15" s="7">
        <v>0</v>
      </c>
      <c r="N15" s="7">
        <v>10.9</v>
      </c>
      <c r="O15" s="7" t="s">
        <v>47</v>
      </c>
      <c r="P15" s="7">
        <v>1</v>
      </c>
      <c r="Q15" s="7" t="s">
        <v>47</v>
      </c>
      <c r="R15" s="7" t="s">
        <v>26</v>
      </c>
      <c r="S15" s="7" t="s">
        <v>26</v>
      </c>
      <c r="T15" s="7" t="s">
        <v>47</v>
      </c>
      <c r="U15" s="7">
        <v>12</v>
      </c>
      <c r="V15" s="7" t="s">
        <v>34</v>
      </c>
      <c r="W15" s="8">
        <f xml:space="preserve">VLOOKUP(D15,[1]sheet!$J:$O,6,0)</f>
        <v>32</v>
      </c>
    </row>
    <row r="16" s="1" customFormat="1" ht="16.5" spans="1:23">
      <c r="A16" s="6">
        <v>47</v>
      </c>
      <c r="B16" s="6" t="s">
        <v>22</v>
      </c>
      <c r="C16" s="6" t="s">
        <v>65</v>
      </c>
      <c r="D16" s="6" t="s">
        <v>71</v>
      </c>
      <c r="E16" s="6" t="s">
        <v>72</v>
      </c>
      <c r="F16" s="6" t="s">
        <v>26</v>
      </c>
      <c r="G16" s="6" t="s">
        <v>58</v>
      </c>
      <c r="H16" s="6" t="s">
        <v>47</v>
      </c>
      <c r="I16" s="7">
        <v>10.2</v>
      </c>
      <c r="J16" s="7">
        <v>0</v>
      </c>
      <c r="K16" s="7">
        <v>0</v>
      </c>
      <c r="L16" s="7">
        <v>0</v>
      </c>
      <c r="M16" s="7">
        <v>0</v>
      </c>
      <c r="N16" s="7">
        <v>10.2</v>
      </c>
      <c r="O16" s="7" t="s">
        <v>47</v>
      </c>
      <c r="P16" s="7">
        <v>1</v>
      </c>
      <c r="Q16" s="7" t="s">
        <v>47</v>
      </c>
      <c r="R16" s="7" t="s">
        <v>26</v>
      </c>
      <c r="S16" s="7" t="s">
        <v>26</v>
      </c>
      <c r="T16" s="7" t="s">
        <v>47</v>
      </c>
      <c r="U16" s="7">
        <v>6</v>
      </c>
      <c r="V16" s="7" t="s">
        <v>34</v>
      </c>
      <c r="W16" s="8">
        <f xml:space="preserve">VLOOKUP(D16,[1]sheet!$J:$O,6,0)</f>
        <v>32</v>
      </c>
    </row>
    <row r="17" s="1" customFormat="1" ht="16.5" spans="1:23">
      <c r="A17" s="6">
        <v>205</v>
      </c>
      <c r="B17" s="6" t="s">
        <v>22</v>
      </c>
      <c r="C17" s="6" t="s">
        <v>43</v>
      </c>
      <c r="D17" s="6" t="s">
        <v>71</v>
      </c>
      <c r="E17" s="6" t="s">
        <v>72</v>
      </c>
      <c r="F17" s="6" t="s">
        <v>26</v>
      </c>
      <c r="G17" s="6" t="s">
        <v>58</v>
      </c>
      <c r="H17" s="6" t="s">
        <v>47</v>
      </c>
      <c r="I17" s="7">
        <v>10.2</v>
      </c>
      <c r="J17" s="7">
        <v>0</v>
      </c>
      <c r="K17" s="7">
        <v>0</v>
      </c>
      <c r="L17" s="7">
        <v>0</v>
      </c>
      <c r="M17" s="7">
        <v>0</v>
      </c>
      <c r="N17" s="7">
        <v>10.2</v>
      </c>
      <c r="O17" s="7" t="s">
        <v>47</v>
      </c>
      <c r="P17" s="7">
        <v>1</v>
      </c>
      <c r="Q17" s="7" t="s">
        <v>47</v>
      </c>
      <c r="R17" s="7" t="s">
        <v>26</v>
      </c>
      <c r="S17" s="7" t="s">
        <v>26</v>
      </c>
      <c r="T17" s="7" t="s">
        <v>47</v>
      </c>
      <c r="U17" s="7">
        <v>6</v>
      </c>
      <c r="V17" s="7" t="s">
        <v>34</v>
      </c>
      <c r="W17" s="8">
        <f xml:space="preserve">VLOOKUP(D17,[1]sheet!$J:$O,6,0)</f>
        <v>32</v>
      </c>
    </row>
    <row r="18" s="1" customFormat="1" ht="16.5" spans="1:23">
      <c r="A18" s="6">
        <v>149</v>
      </c>
      <c r="B18" s="6" t="s">
        <v>22</v>
      </c>
      <c r="C18" s="6" t="s">
        <v>43</v>
      </c>
      <c r="D18" s="6" t="s">
        <v>73</v>
      </c>
      <c r="E18" s="6" t="s">
        <v>74</v>
      </c>
      <c r="F18" s="6" t="s">
        <v>26</v>
      </c>
      <c r="G18" s="6" t="s">
        <v>58</v>
      </c>
      <c r="H18" s="6" t="s">
        <v>47</v>
      </c>
      <c r="I18" s="7">
        <v>10.2</v>
      </c>
      <c r="J18" s="7">
        <v>0</v>
      </c>
      <c r="K18" s="7">
        <v>0</v>
      </c>
      <c r="L18" s="7">
        <v>0</v>
      </c>
      <c r="M18" s="7">
        <v>0</v>
      </c>
      <c r="N18" s="7">
        <v>10.2</v>
      </c>
      <c r="O18" s="7" t="s">
        <v>47</v>
      </c>
      <c r="P18" s="7">
        <v>1</v>
      </c>
      <c r="Q18" s="7" t="s">
        <v>47</v>
      </c>
      <c r="R18" s="7" t="s">
        <v>26</v>
      </c>
      <c r="S18" s="7" t="s">
        <v>26</v>
      </c>
      <c r="T18" s="7" t="s">
        <v>47</v>
      </c>
      <c r="U18" s="7">
        <v>6</v>
      </c>
      <c r="V18" s="7" t="s">
        <v>34</v>
      </c>
      <c r="W18" s="8">
        <f xml:space="preserve">VLOOKUP(D18,[1]sheet!$J:$O,6,0)</f>
        <v>32</v>
      </c>
    </row>
    <row r="19" s="1" customFormat="1" ht="16.5" spans="1:23">
      <c r="A19" s="6">
        <v>74</v>
      </c>
      <c r="B19" s="6" t="s">
        <v>22</v>
      </c>
      <c r="C19" s="6" t="s">
        <v>43</v>
      </c>
      <c r="D19" s="6" t="s">
        <v>75</v>
      </c>
      <c r="E19" s="6" t="s">
        <v>76</v>
      </c>
      <c r="F19" s="6" t="s">
        <v>26</v>
      </c>
      <c r="G19" s="6" t="s">
        <v>77</v>
      </c>
      <c r="H19" s="6" t="s">
        <v>47</v>
      </c>
      <c r="I19" s="7">
        <v>7.4</v>
      </c>
      <c r="J19" s="7">
        <v>0</v>
      </c>
      <c r="K19" s="7">
        <v>0</v>
      </c>
      <c r="L19" s="7">
        <v>0</v>
      </c>
      <c r="M19" s="7">
        <v>0</v>
      </c>
      <c r="N19" s="7">
        <v>7.4</v>
      </c>
      <c r="O19" s="7" t="s">
        <v>47</v>
      </c>
      <c r="P19" s="7">
        <v>1</v>
      </c>
      <c r="Q19" s="7" t="s">
        <v>47</v>
      </c>
      <c r="R19" s="7" t="s">
        <v>26</v>
      </c>
      <c r="S19" s="7" t="s">
        <v>26</v>
      </c>
      <c r="T19" s="7" t="s">
        <v>47</v>
      </c>
      <c r="U19" s="7">
        <v>12</v>
      </c>
      <c r="V19" s="7" t="s">
        <v>34</v>
      </c>
      <c r="W19" s="8">
        <f xml:space="preserve">VLOOKUP(D19,[1]sheet!$J:$O,6,0)</f>
        <v>40</v>
      </c>
    </row>
    <row r="20" s="1" customFormat="1" ht="16.5" spans="1:23">
      <c r="A20" s="6">
        <v>73</v>
      </c>
      <c r="B20" s="6" t="s">
        <v>22</v>
      </c>
      <c r="C20" s="6" t="s">
        <v>43</v>
      </c>
      <c r="D20" s="6" t="s">
        <v>78</v>
      </c>
      <c r="E20" s="6" t="s">
        <v>79</v>
      </c>
      <c r="F20" s="6" t="s">
        <v>26</v>
      </c>
      <c r="G20" s="6" t="s">
        <v>77</v>
      </c>
      <c r="H20" s="6" t="s">
        <v>47</v>
      </c>
      <c r="I20" s="7">
        <v>7.5</v>
      </c>
      <c r="J20" s="7">
        <v>0</v>
      </c>
      <c r="K20" s="7">
        <v>0</v>
      </c>
      <c r="L20" s="7">
        <v>0</v>
      </c>
      <c r="M20" s="7">
        <v>0</v>
      </c>
      <c r="N20" s="7">
        <v>7.5</v>
      </c>
      <c r="O20" s="7" t="s">
        <v>47</v>
      </c>
      <c r="P20" s="7">
        <v>1</v>
      </c>
      <c r="Q20" s="7" t="s">
        <v>47</v>
      </c>
      <c r="R20" s="7" t="s">
        <v>26</v>
      </c>
      <c r="S20" s="7" t="s">
        <v>26</v>
      </c>
      <c r="T20" s="7" t="s">
        <v>47</v>
      </c>
      <c r="U20" s="7">
        <v>12</v>
      </c>
      <c r="V20" s="7" t="s">
        <v>34</v>
      </c>
      <c r="W20" s="8">
        <f xml:space="preserve">VLOOKUP(D20,[1]sheet!$J:$O,6,0)</f>
        <v>40</v>
      </c>
    </row>
    <row r="21" s="1" customFormat="1" ht="16.5" hidden="1" spans="1:23">
      <c r="A21" s="6">
        <v>39</v>
      </c>
      <c r="B21" s="6" t="s">
        <v>22</v>
      </c>
      <c r="C21" s="6" t="s">
        <v>65</v>
      </c>
      <c r="D21" s="6" t="s">
        <v>80</v>
      </c>
      <c r="E21" s="6" t="s">
        <v>81</v>
      </c>
      <c r="F21" s="6" t="s">
        <v>26</v>
      </c>
      <c r="G21" s="6" t="s">
        <v>82</v>
      </c>
      <c r="H21" s="6" t="s">
        <v>47</v>
      </c>
      <c r="I21" s="7">
        <v>11</v>
      </c>
      <c r="J21" s="7">
        <v>0.02965809</v>
      </c>
      <c r="K21" s="7">
        <v>0.347</v>
      </c>
      <c r="L21" s="7">
        <v>0.259</v>
      </c>
      <c r="M21" s="7">
        <v>0.33</v>
      </c>
      <c r="N21" s="7">
        <v>11</v>
      </c>
      <c r="O21" s="7" t="s">
        <v>47</v>
      </c>
      <c r="P21" s="7">
        <v>1</v>
      </c>
      <c r="Q21" s="7" t="s">
        <v>47</v>
      </c>
      <c r="R21" s="7" t="s">
        <v>26</v>
      </c>
      <c r="S21" s="7" t="s">
        <v>26</v>
      </c>
      <c r="T21" s="7" t="s">
        <v>47</v>
      </c>
      <c r="U21" s="7">
        <v>6</v>
      </c>
      <c r="V21" s="7" t="s">
        <v>34</v>
      </c>
      <c r="W21" s="7"/>
    </row>
    <row r="22" s="1" customFormat="1" ht="16.5" spans="1:23">
      <c r="A22" s="6">
        <v>157</v>
      </c>
      <c r="B22" s="6" t="s">
        <v>22</v>
      </c>
      <c r="C22" s="6" t="s">
        <v>43</v>
      </c>
      <c r="D22" s="6" t="s">
        <v>83</v>
      </c>
      <c r="E22" s="6" t="s">
        <v>84</v>
      </c>
      <c r="F22" s="6" t="s">
        <v>26</v>
      </c>
      <c r="G22" s="6" t="s">
        <v>85</v>
      </c>
      <c r="H22" s="6" t="s">
        <v>47</v>
      </c>
      <c r="I22" s="7">
        <v>7.7</v>
      </c>
      <c r="J22" s="7">
        <v>0</v>
      </c>
      <c r="K22" s="7">
        <v>0</v>
      </c>
      <c r="L22" s="7">
        <v>0</v>
      </c>
      <c r="M22" s="7">
        <v>0</v>
      </c>
      <c r="N22" s="7">
        <v>7.7</v>
      </c>
      <c r="O22" s="7" t="s">
        <v>47</v>
      </c>
      <c r="P22" s="7">
        <v>1</v>
      </c>
      <c r="Q22" s="7" t="s">
        <v>47</v>
      </c>
      <c r="R22" s="7" t="s">
        <v>26</v>
      </c>
      <c r="S22" s="7" t="s">
        <v>26</v>
      </c>
      <c r="T22" s="7" t="s">
        <v>47</v>
      </c>
      <c r="U22" s="7">
        <v>12</v>
      </c>
      <c r="V22" s="7" t="s">
        <v>34</v>
      </c>
      <c r="W22" s="8">
        <f xml:space="preserve">VLOOKUP(D22,[1]sheet!$J:$O,6,0)</f>
        <v>50</v>
      </c>
    </row>
    <row r="23" s="1" customFormat="1" ht="16.5" spans="1:23">
      <c r="A23" s="6">
        <v>173</v>
      </c>
      <c r="B23" s="6" t="s">
        <v>22</v>
      </c>
      <c r="C23" s="6" t="s">
        <v>43</v>
      </c>
      <c r="D23" s="6" t="s">
        <v>86</v>
      </c>
      <c r="E23" s="6" t="s">
        <v>87</v>
      </c>
      <c r="F23" s="6" t="s">
        <v>26</v>
      </c>
      <c r="G23" s="6" t="s">
        <v>58</v>
      </c>
      <c r="H23" s="6" t="s">
        <v>47</v>
      </c>
      <c r="I23" s="7">
        <v>16</v>
      </c>
      <c r="J23" s="7">
        <v>0</v>
      </c>
      <c r="K23" s="7">
        <v>0</v>
      </c>
      <c r="L23" s="7">
        <v>0</v>
      </c>
      <c r="M23" s="7">
        <v>0</v>
      </c>
      <c r="N23" s="7">
        <v>16</v>
      </c>
      <c r="O23" s="7" t="s">
        <v>47</v>
      </c>
      <c r="P23" s="7">
        <v>1</v>
      </c>
      <c r="Q23" s="7" t="s">
        <v>47</v>
      </c>
      <c r="R23" s="7" t="s">
        <v>26</v>
      </c>
      <c r="S23" s="7" t="s">
        <v>26</v>
      </c>
      <c r="T23" s="7" t="s">
        <v>47</v>
      </c>
      <c r="U23" s="7">
        <v>6</v>
      </c>
      <c r="V23" s="7" t="s">
        <v>34</v>
      </c>
      <c r="W23" s="8">
        <f xml:space="preserve">VLOOKUP(D23,[1]sheet!$J:$O,6,0)</f>
        <v>24</v>
      </c>
    </row>
    <row r="24" s="1" customFormat="1" ht="16.5" spans="1:23">
      <c r="A24" s="6">
        <v>200</v>
      </c>
      <c r="B24" s="6" t="s">
        <v>22</v>
      </c>
      <c r="C24" s="6" t="s">
        <v>43</v>
      </c>
      <c r="D24" s="6" t="s">
        <v>88</v>
      </c>
      <c r="E24" s="6" t="s">
        <v>89</v>
      </c>
      <c r="F24" s="6" t="s">
        <v>26</v>
      </c>
      <c r="G24" s="6" t="s">
        <v>90</v>
      </c>
      <c r="H24" s="6" t="s">
        <v>47</v>
      </c>
      <c r="I24" s="7">
        <v>12.3</v>
      </c>
      <c r="J24" s="7">
        <v>0</v>
      </c>
      <c r="K24" s="7">
        <v>0</v>
      </c>
      <c r="L24" s="7">
        <v>0</v>
      </c>
      <c r="M24" s="7">
        <v>0</v>
      </c>
      <c r="N24" s="7">
        <v>12.3</v>
      </c>
      <c r="O24" s="7" t="s">
        <v>47</v>
      </c>
      <c r="P24" s="7">
        <v>1</v>
      </c>
      <c r="Q24" s="7" t="s">
        <v>47</v>
      </c>
      <c r="R24" s="7" t="s">
        <v>26</v>
      </c>
      <c r="S24" s="7" t="s">
        <v>26</v>
      </c>
      <c r="T24" s="7" t="s">
        <v>47</v>
      </c>
      <c r="U24" s="7">
        <v>6</v>
      </c>
      <c r="V24" s="7" t="s">
        <v>34</v>
      </c>
      <c r="W24" s="8">
        <f xml:space="preserve">VLOOKUP(D24,[1]sheet!$J:$O,6,0)</f>
        <v>28</v>
      </c>
    </row>
    <row r="25" s="1" customFormat="1" ht="16.5" spans="1:23">
      <c r="A25" s="6">
        <v>237</v>
      </c>
      <c r="B25" s="6" t="s">
        <v>22</v>
      </c>
      <c r="C25" s="6" t="s">
        <v>23</v>
      </c>
      <c r="D25" s="6" t="s">
        <v>91</v>
      </c>
      <c r="E25" s="6" t="s">
        <v>92</v>
      </c>
      <c r="F25" s="6" t="s">
        <v>26</v>
      </c>
      <c r="G25" s="6" t="s">
        <v>58</v>
      </c>
      <c r="H25" s="6" t="s">
        <v>47</v>
      </c>
      <c r="I25" s="7">
        <v>11.6</v>
      </c>
      <c r="J25" s="7">
        <v>0</v>
      </c>
      <c r="K25" s="7">
        <v>0</v>
      </c>
      <c r="L25" s="7">
        <v>0</v>
      </c>
      <c r="M25" s="7">
        <v>0</v>
      </c>
      <c r="N25" s="7">
        <v>11.6</v>
      </c>
      <c r="O25" s="7" t="s">
        <v>47</v>
      </c>
      <c r="P25" s="7">
        <v>1</v>
      </c>
      <c r="Q25" s="7" t="s">
        <v>47</v>
      </c>
      <c r="R25" s="7" t="s">
        <v>26</v>
      </c>
      <c r="S25" s="7" t="s">
        <v>26</v>
      </c>
      <c r="T25" s="7" t="s">
        <v>47</v>
      </c>
      <c r="U25" s="7">
        <v>6</v>
      </c>
      <c r="V25" s="7" t="s">
        <v>34</v>
      </c>
      <c r="W25" s="8">
        <f xml:space="preserve">VLOOKUP(D25,[1]sheet!$J:$O,6,0)</f>
        <v>32</v>
      </c>
    </row>
    <row r="26" s="1" customFormat="1" ht="16.5" spans="1:23">
      <c r="A26" s="6">
        <v>238</v>
      </c>
      <c r="B26" s="6" t="s">
        <v>22</v>
      </c>
      <c r="C26" s="6" t="s">
        <v>23</v>
      </c>
      <c r="D26" s="6" t="s">
        <v>93</v>
      </c>
      <c r="E26" s="6" t="s">
        <v>94</v>
      </c>
      <c r="F26" s="6" t="s">
        <v>26</v>
      </c>
      <c r="G26" s="6" t="s">
        <v>58</v>
      </c>
      <c r="H26" s="6" t="s">
        <v>47</v>
      </c>
      <c r="I26" s="7">
        <v>10.2</v>
      </c>
      <c r="J26" s="7">
        <v>0</v>
      </c>
      <c r="K26" s="7">
        <v>0</v>
      </c>
      <c r="L26" s="7">
        <v>0</v>
      </c>
      <c r="M26" s="7">
        <v>0</v>
      </c>
      <c r="N26" s="7">
        <v>10.2</v>
      </c>
      <c r="O26" s="7" t="s">
        <v>47</v>
      </c>
      <c r="P26" s="7">
        <v>1</v>
      </c>
      <c r="Q26" s="7" t="s">
        <v>47</v>
      </c>
      <c r="R26" s="7" t="s">
        <v>26</v>
      </c>
      <c r="S26" s="7" t="s">
        <v>26</v>
      </c>
      <c r="T26" s="7" t="s">
        <v>47</v>
      </c>
      <c r="U26" s="7">
        <v>6</v>
      </c>
      <c r="V26" s="7" t="s">
        <v>34</v>
      </c>
      <c r="W26" s="8">
        <f xml:space="preserve">VLOOKUP(D26,[1]sheet!$J:$O,6,0)</f>
        <v>32</v>
      </c>
    </row>
    <row r="27" s="1" customFormat="1" ht="16.5" spans="1:23">
      <c r="A27" s="6">
        <v>235</v>
      </c>
      <c r="B27" s="6" t="s">
        <v>22</v>
      </c>
      <c r="C27" s="6" t="s">
        <v>23</v>
      </c>
      <c r="D27" s="6" t="s">
        <v>95</v>
      </c>
      <c r="E27" s="6" t="s">
        <v>96</v>
      </c>
      <c r="F27" s="6" t="s">
        <v>26</v>
      </c>
      <c r="G27" s="6" t="s">
        <v>97</v>
      </c>
      <c r="H27" s="6" t="s">
        <v>47</v>
      </c>
      <c r="I27" s="7">
        <v>10.7</v>
      </c>
      <c r="J27" s="7">
        <v>0</v>
      </c>
      <c r="K27" s="7">
        <v>0</v>
      </c>
      <c r="L27" s="7">
        <v>0</v>
      </c>
      <c r="M27" s="7">
        <v>0</v>
      </c>
      <c r="N27" s="7">
        <v>10.7</v>
      </c>
      <c r="O27" s="7" t="s">
        <v>47</v>
      </c>
      <c r="P27" s="7">
        <v>1</v>
      </c>
      <c r="Q27" s="7" t="s">
        <v>47</v>
      </c>
      <c r="R27" s="7" t="s">
        <v>26</v>
      </c>
      <c r="S27" s="7" t="s">
        <v>26</v>
      </c>
      <c r="T27" s="7" t="s">
        <v>47</v>
      </c>
      <c r="U27" s="7">
        <v>8</v>
      </c>
      <c r="V27" s="7" t="s">
        <v>34</v>
      </c>
      <c r="W27" s="8">
        <f xml:space="preserve">VLOOKUP(D27,[1]sheet!$J:$O,6,0)</f>
        <v>28</v>
      </c>
    </row>
    <row r="28" s="1" customFormat="1" ht="16.5" spans="1:23">
      <c r="A28" s="6">
        <v>234</v>
      </c>
      <c r="B28" s="6" t="s">
        <v>22</v>
      </c>
      <c r="C28" s="6" t="s">
        <v>23</v>
      </c>
      <c r="D28" s="6" t="s">
        <v>98</v>
      </c>
      <c r="E28" s="6" t="s">
        <v>99</v>
      </c>
      <c r="F28" s="6" t="s">
        <v>26</v>
      </c>
      <c r="G28" s="6" t="s">
        <v>100</v>
      </c>
      <c r="H28" s="6" t="s">
        <v>47</v>
      </c>
      <c r="I28" s="7">
        <v>6.9</v>
      </c>
      <c r="J28" s="7">
        <v>0</v>
      </c>
      <c r="K28" s="7">
        <v>0</v>
      </c>
      <c r="L28" s="7">
        <v>0</v>
      </c>
      <c r="M28" s="7">
        <v>0</v>
      </c>
      <c r="N28" s="7">
        <v>6.9</v>
      </c>
      <c r="O28" s="7" t="s">
        <v>47</v>
      </c>
      <c r="P28" s="7">
        <v>1</v>
      </c>
      <c r="Q28" s="7" t="s">
        <v>47</v>
      </c>
      <c r="R28" s="7" t="s">
        <v>26</v>
      </c>
      <c r="S28" s="7" t="s">
        <v>26</v>
      </c>
      <c r="T28" s="7" t="s">
        <v>47</v>
      </c>
      <c r="U28" s="7">
        <v>12</v>
      </c>
      <c r="V28" s="7" t="s">
        <v>34</v>
      </c>
      <c r="W28" s="8">
        <f xml:space="preserve">VLOOKUP(D28,[1]sheet!$J:$O,6,0)</f>
        <v>60</v>
      </c>
    </row>
    <row r="29" s="1" customFormat="1" ht="16.5" spans="1:23">
      <c r="A29" s="6">
        <v>250</v>
      </c>
      <c r="B29" s="6" t="s">
        <v>22</v>
      </c>
      <c r="C29" s="6" t="s">
        <v>23</v>
      </c>
      <c r="D29" s="6" t="s">
        <v>101</v>
      </c>
      <c r="E29" s="6" t="s">
        <v>102</v>
      </c>
      <c r="F29" s="6" t="s">
        <v>26</v>
      </c>
      <c r="G29" s="6" t="s">
        <v>103</v>
      </c>
      <c r="H29" s="6" t="s">
        <v>47</v>
      </c>
      <c r="I29" s="7">
        <v>8</v>
      </c>
      <c r="J29" s="7">
        <v>0</v>
      </c>
      <c r="K29" s="7">
        <v>0</v>
      </c>
      <c r="L29" s="7">
        <v>0</v>
      </c>
      <c r="M29" s="7">
        <v>0</v>
      </c>
      <c r="N29" s="7">
        <v>8</v>
      </c>
      <c r="O29" s="7" t="s">
        <v>47</v>
      </c>
      <c r="P29" s="7">
        <v>1</v>
      </c>
      <c r="Q29" s="7" t="s">
        <v>47</v>
      </c>
      <c r="R29" s="7" t="s">
        <v>26</v>
      </c>
      <c r="S29" s="7" t="s">
        <v>26</v>
      </c>
      <c r="T29" s="7" t="s">
        <v>47</v>
      </c>
      <c r="U29" s="7">
        <v>24</v>
      </c>
      <c r="V29" s="7" t="s">
        <v>34</v>
      </c>
      <c r="W29" s="8">
        <f xml:space="preserve">VLOOKUP(D29,[1]sheet!$J:$O,6,0)</f>
        <v>60</v>
      </c>
    </row>
    <row r="30" s="1" customFormat="1" ht="16.5" spans="1:23">
      <c r="A30" s="6">
        <v>256</v>
      </c>
      <c r="B30" s="6" t="s">
        <v>22</v>
      </c>
      <c r="C30" s="6" t="s">
        <v>23</v>
      </c>
      <c r="D30" s="6" t="s">
        <v>104</v>
      </c>
      <c r="E30" s="6" t="s">
        <v>105</v>
      </c>
      <c r="F30" s="6" t="s">
        <v>26</v>
      </c>
      <c r="G30" s="6" t="s">
        <v>58</v>
      </c>
      <c r="H30" s="6" t="s">
        <v>47</v>
      </c>
      <c r="I30" s="7">
        <v>10.2</v>
      </c>
      <c r="J30" s="7">
        <v>0</v>
      </c>
      <c r="K30" s="7">
        <v>0</v>
      </c>
      <c r="L30" s="7">
        <v>0</v>
      </c>
      <c r="M30" s="7">
        <v>0</v>
      </c>
      <c r="N30" s="7">
        <v>10.2</v>
      </c>
      <c r="O30" s="7" t="s">
        <v>47</v>
      </c>
      <c r="P30" s="7">
        <v>1</v>
      </c>
      <c r="Q30" s="7" t="s">
        <v>47</v>
      </c>
      <c r="R30" s="7" t="s">
        <v>26</v>
      </c>
      <c r="S30" s="7" t="s">
        <v>26</v>
      </c>
      <c r="T30" s="7" t="s">
        <v>47</v>
      </c>
      <c r="U30" s="7">
        <v>6</v>
      </c>
      <c r="V30" s="7" t="s">
        <v>34</v>
      </c>
      <c r="W30" s="8">
        <f xml:space="preserve">VLOOKUP(D30,[1]sheet!$J:$O,6,0)</f>
        <v>32</v>
      </c>
    </row>
    <row r="31" s="1" customFormat="1" ht="16.5" spans="1:23">
      <c r="A31" s="6">
        <v>116</v>
      </c>
      <c r="B31" s="6" t="s">
        <v>22</v>
      </c>
      <c r="C31" s="6" t="s">
        <v>23</v>
      </c>
      <c r="D31" s="6" t="s">
        <v>106</v>
      </c>
      <c r="E31" s="6" t="s">
        <v>107</v>
      </c>
      <c r="F31" s="6" t="s">
        <v>26</v>
      </c>
      <c r="G31" s="6" t="s">
        <v>97</v>
      </c>
      <c r="H31" s="6" t="s">
        <v>47</v>
      </c>
      <c r="I31" s="7">
        <v>10.7</v>
      </c>
      <c r="J31" s="7">
        <v>0</v>
      </c>
      <c r="K31" s="7">
        <v>0</v>
      </c>
      <c r="L31" s="7">
        <v>0</v>
      </c>
      <c r="M31" s="7">
        <v>0</v>
      </c>
      <c r="N31" s="7">
        <v>10.7</v>
      </c>
      <c r="O31" s="7" t="s">
        <v>47</v>
      </c>
      <c r="P31" s="7">
        <v>1</v>
      </c>
      <c r="Q31" s="7" t="s">
        <v>47</v>
      </c>
      <c r="R31" s="7" t="s">
        <v>26</v>
      </c>
      <c r="S31" s="7" t="s">
        <v>26</v>
      </c>
      <c r="T31" s="7" t="s">
        <v>47</v>
      </c>
      <c r="U31" s="7">
        <v>8</v>
      </c>
      <c r="V31" s="7" t="s">
        <v>34</v>
      </c>
      <c r="W31" s="8">
        <f xml:space="preserve">VLOOKUP(D31,[1]sheet!$J:$O,6,0)</f>
        <v>28</v>
      </c>
    </row>
    <row r="32" s="1" customFormat="1" ht="16.5" spans="1:23">
      <c r="A32" s="6">
        <v>217</v>
      </c>
      <c r="B32" s="6" t="s">
        <v>22</v>
      </c>
      <c r="C32" s="6" t="s">
        <v>55</v>
      </c>
      <c r="D32" s="6" t="s">
        <v>108</v>
      </c>
      <c r="E32" s="6" t="s">
        <v>109</v>
      </c>
      <c r="F32" s="6" t="s">
        <v>26</v>
      </c>
      <c r="G32" s="6" t="s">
        <v>58</v>
      </c>
      <c r="H32" s="6" t="s">
        <v>47</v>
      </c>
      <c r="I32" s="7">
        <v>10</v>
      </c>
      <c r="J32" s="7">
        <v>0</v>
      </c>
      <c r="K32" s="7">
        <v>0</v>
      </c>
      <c r="L32" s="7">
        <v>0</v>
      </c>
      <c r="M32" s="7">
        <v>0</v>
      </c>
      <c r="N32" s="7">
        <v>10</v>
      </c>
      <c r="O32" s="7" t="s">
        <v>47</v>
      </c>
      <c r="P32" s="7">
        <v>1</v>
      </c>
      <c r="Q32" s="7" t="s">
        <v>47</v>
      </c>
      <c r="R32" s="7" t="s">
        <v>26</v>
      </c>
      <c r="S32" s="7" t="s">
        <v>26</v>
      </c>
      <c r="T32" s="7" t="s">
        <v>47</v>
      </c>
      <c r="U32" s="7">
        <v>6</v>
      </c>
      <c r="V32" s="7" t="s">
        <v>34</v>
      </c>
      <c r="W32" s="8">
        <f xml:space="preserve">VLOOKUP(D32,[1]sheet!$J:$O,6,0)</f>
        <v>30</v>
      </c>
    </row>
    <row r="33" s="1" customFormat="1" ht="16.5" spans="1:23">
      <c r="A33" s="6">
        <v>212</v>
      </c>
      <c r="B33" s="6" t="s">
        <v>22</v>
      </c>
      <c r="C33" s="6" t="s">
        <v>55</v>
      </c>
      <c r="D33" s="6" t="s">
        <v>110</v>
      </c>
      <c r="E33" s="6" t="s">
        <v>111</v>
      </c>
      <c r="F33" s="6" t="s">
        <v>26</v>
      </c>
      <c r="G33" s="6" t="s">
        <v>58</v>
      </c>
      <c r="H33" s="6" t="s">
        <v>47</v>
      </c>
      <c r="I33" s="7">
        <v>10</v>
      </c>
      <c r="J33" s="7">
        <v>0</v>
      </c>
      <c r="K33" s="7">
        <v>0</v>
      </c>
      <c r="L33" s="7">
        <v>0</v>
      </c>
      <c r="M33" s="7">
        <v>0</v>
      </c>
      <c r="N33" s="7">
        <v>10</v>
      </c>
      <c r="O33" s="7" t="s">
        <v>47</v>
      </c>
      <c r="P33" s="7">
        <v>1</v>
      </c>
      <c r="Q33" s="7" t="s">
        <v>47</v>
      </c>
      <c r="R33" s="7" t="s">
        <v>26</v>
      </c>
      <c r="S33" s="7" t="s">
        <v>26</v>
      </c>
      <c r="T33" s="7" t="s">
        <v>47</v>
      </c>
      <c r="U33" s="7">
        <v>6</v>
      </c>
      <c r="V33" s="7" t="s">
        <v>34</v>
      </c>
      <c r="W33" s="8">
        <f xml:space="preserve">VLOOKUP(D33,[1]sheet!$J:$O,6,0)</f>
        <v>32</v>
      </c>
    </row>
    <row r="34" s="1" customFormat="1" ht="16.5" spans="1:23">
      <c r="A34" s="6">
        <v>226</v>
      </c>
      <c r="B34" s="6" t="s">
        <v>22</v>
      </c>
      <c r="C34" s="6" t="s">
        <v>55</v>
      </c>
      <c r="D34" s="6" t="s">
        <v>112</v>
      </c>
      <c r="E34" s="6" t="s">
        <v>113</v>
      </c>
      <c r="F34" s="6" t="s">
        <v>26</v>
      </c>
      <c r="G34" s="6" t="s">
        <v>58</v>
      </c>
      <c r="H34" s="6" t="s">
        <v>47</v>
      </c>
      <c r="I34" s="7">
        <v>10.2</v>
      </c>
      <c r="J34" s="7">
        <v>0</v>
      </c>
      <c r="K34" s="7">
        <v>0</v>
      </c>
      <c r="L34" s="7">
        <v>0</v>
      </c>
      <c r="M34" s="7">
        <v>0</v>
      </c>
      <c r="N34" s="7">
        <v>10.2</v>
      </c>
      <c r="O34" s="7" t="s">
        <v>47</v>
      </c>
      <c r="P34" s="7">
        <v>1</v>
      </c>
      <c r="Q34" s="7" t="s">
        <v>47</v>
      </c>
      <c r="R34" s="7" t="s">
        <v>26</v>
      </c>
      <c r="S34" s="7" t="s">
        <v>26</v>
      </c>
      <c r="T34" s="7" t="s">
        <v>47</v>
      </c>
      <c r="U34" s="7">
        <v>6</v>
      </c>
      <c r="V34" s="7" t="s">
        <v>34</v>
      </c>
      <c r="W34" s="8">
        <f xml:space="preserve">VLOOKUP(D34,[1]sheet!$J:$O,6,0)</f>
        <v>32</v>
      </c>
    </row>
    <row r="35" s="1" customFormat="1" ht="16.5" spans="1:23">
      <c r="A35" s="6">
        <v>220</v>
      </c>
      <c r="B35" s="6" t="s">
        <v>22</v>
      </c>
      <c r="C35" s="6" t="s">
        <v>55</v>
      </c>
      <c r="D35" s="6" t="s">
        <v>114</v>
      </c>
      <c r="E35" s="6" t="s">
        <v>115</v>
      </c>
      <c r="F35" s="6" t="s">
        <v>26</v>
      </c>
      <c r="G35" s="6" t="s">
        <v>68</v>
      </c>
      <c r="H35" s="6" t="s">
        <v>47</v>
      </c>
      <c r="I35" s="7">
        <v>10.7</v>
      </c>
      <c r="J35" s="7">
        <v>0</v>
      </c>
      <c r="K35" s="7">
        <v>0</v>
      </c>
      <c r="L35" s="7">
        <v>0</v>
      </c>
      <c r="M35" s="7">
        <v>0</v>
      </c>
      <c r="N35" s="7">
        <v>10.7</v>
      </c>
      <c r="O35" s="7" t="s">
        <v>47</v>
      </c>
      <c r="P35" s="7">
        <v>1</v>
      </c>
      <c r="Q35" s="7" t="s">
        <v>47</v>
      </c>
      <c r="R35" s="7" t="s">
        <v>26</v>
      </c>
      <c r="S35" s="7" t="s">
        <v>26</v>
      </c>
      <c r="T35" s="7" t="s">
        <v>47</v>
      </c>
      <c r="U35" s="7">
        <v>8</v>
      </c>
      <c r="V35" s="7" t="s">
        <v>34</v>
      </c>
      <c r="W35" s="8">
        <f xml:space="preserve">VLOOKUP(D35,[1]sheet!$J:$O,6,0)</f>
        <v>28</v>
      </c>
    </row>
    <row r="36" s="1" customFormat="1" ht="16.5" spans="1:23">
      <c r="A36" s="6">
        <v>231</v>
      </c>
      <c r="B36" s="6" t="s">
        <v>22</v>
      </c>
      <c r="C36" s="6" t="s">
        <v>55</v>
      </c>
      <c r="D36" s="6" t="s">
        <v>116</v>
      </c>
      <c r="E36" s="6" t="s">
        <v>117</v>
      </c>
      <c r="F36" s="6" t="s">
        <v>26</v>
      </c>
      <c r="G36" s="6" t="s">
        <v>58</v>
      </c>
      <c r="H36" s="6" t="s">
        <v>47</v>
      </c>
      <c r="I36" s="7">
        <v>10.2</v>
      </c>
      <c r="J36" s="7">
        <v>0</v>
      </c>
      <c r="K36" s="7">
        <v>0</v>
      </c>
      <c r="L36" s="7">
        <v>0</v>
      </c>
      <c r="M36" s="7">
        <v>0</v>
      </c>
      <c r="N36" s="7">
        <v>10.2</v>
      </c>
      <c r="O36" s="7" t="s">
        <v>47</v>
      </c>
      <c r="P36" s="7">
        <v>1</v>
      </c>
      <c r="Q36" s="7" t="s">
        <v>47</v>
      </c>
      <c r="R36" s="7" t="s">
        <v>26</v>
      </c>
      <c r="S36" s="7" t="s">
        <v>26</v>
      </c>
      <c r="T36" s="7" t="s">
        <v>47</v>
      </c>
      <c r="U36" s="7">
        <v>6</v>
      </c>
      <c r="V36" s="7" t="s">
        <v>34</v>
      </c>
      <c r="W36" s="8">
        <f xml:space="preserve">VLOOKUP(D36,[1]sheet!$J:$O,6,0)</f>
        <v>32</v>
      </c>
    </row>
    <row r="37" s="1" customFormat="1" ht="16.5" spans="1:23">
      <c r="A37" s="6">
        <v>233</v>
      </c>
      <c r="B37" s="6" t="s">
        <v>22</v>
      </c>
      <c r="C37" s="6" t="s">
        <v>23</v>
      </c>
      <c r="D37" s="6" t="s">
        <v>118</v>
      </c>
      <c r="E37" s="6" t="s">
        <v>119</v>
      </c>
      <c r="F37" s="6" t="s">
        <v>26</v>
      </c>
      <c r="G37" s="6" t="s">
        <v>58</v>
      </c>
      <c r="H37" s="6" t="s">
        <v>47</v>
      </c>
      <c r="I37" s="7">
        <v>14.4</v>
      </c>
      <c r="J37" s="7">
        <v>0</v>
      </c>
      <c r="K37" s="7">
        <v>0</v>
      </c>
      <c r="L37" s="7">
        <v>0</v>
      </c>
      <c r="M37" s="7">
        <v>0</v>
      </c>
      <c r="N37" s="7">
        <v>14.4</v>
      </c>
      <c r="O37" s="7" t="s">
        <v>47</v>
      </c>
      <c r="P37" s="7">
        <v>1</v>
      </c>
      <c r="Q37" s="7" t="s">
        <v>47</v>
      </c>
      <c r="R37" s="7" t="s">
        <v>26</v>
      </c>
      <c r="S37" s="7" t="s">
        <v>26</v>
      </c>
      <c r="T37" s="7" t="s">
        <v>47</v>
      </c>
      <c r="U37" s="7">
        <v>6</v>
      </c>
      <c r="V37" s="7" t="s">
        <v>34</v>
      </c>
      <c r="W37" s="8">
        <f xml:space="preserve">VLOOKUP(D37,[1]sheet!$J:$O,6,0)</f>
        <v>32</v>
      </c>
    </row>
    <row r="38" s="1" customFormat="1" ht="16.5" spans="1:23">
      <c r="A38" s="6">
        <v>148</v>
      </c>
      <c r="B38" s="6" t="s">
        <v>22</v>
      </c>
      <c r="C38" s="6" t="s">
        <v>43</v>
      </c>
      <c r="D38" s="6" t="s">
        <v>120</v>
      </c>
      <c r="E38" s="6" t="s">
        <v>121</v>
      </c>
      <c r="F38" s="6" t="s">
        <v>26</v>
      </c>
      <c r="G38" s="6" t="s">
        <v>122</v>
      </c>
      <c r="H38" s="6" t="s">
        <v>38</v>
      </c>
      <c r="I38" s="7">
        <v>2.8</v>
      </c>
      <c r="J38" s="7">
        <v>0</v>
      </c>
      <c r="K38" s="7">
        <v>0</v>
      </c>
      <c r="L38" s="7">
        <v>0</v>
      </c>
      <c r="M38" s="7">
        <v>0</v>
      </c>
      <c r="N38" s="7">
        <v>2.8</v>
      </c>
      <c r="O38" s="7" t="s">
        <v>38</v>
      </c>
      <c r="P38" s="7">
        <v>1</v>
      </c>
      <c r="Q38" s="7" t="s">
        <v>38</v>
      </c>
      <c r="R38" s="7" t="s">
        <v>26</v>
      </c>
      <c r="S38" s="7" t="s">
        <v>26</v>
      </c>
      <c r="T38" s="7" t="s">
        <v>38</v>
      </c>
      <c r="U38" s="7">
        <v>3</v>
      </c>
      <c r="V38" s="7" t="s">
        <v>34</v>
      </c>
      <c r="W38" s="8">
        <f xml:space="preserve">VLOOKUP(D38,[1]sheet!$J:$O,6,0)</f>
        <v>12</v>
      </c>
    </row>
    <row r="39" s="1" customFormat="1" ht="16.5" spans="1:23">
      <c r="A39" s="6">
        <v>260</v>
      </c>
      <c r="B39" s="6" t="s">
        <v>22</v>
      </c>
      <c r="C39" s="6" t="s">
        <v>23</v>
      </c>
      <c r="D39" s="6" t="s">
        <v>123</v>
      </c>
      <c r="E39" s="6" t="s">
        <v>124</v>
      </c>
      <c r="F39" s="6" t="s">
        <v>26</v>
      </c>
      <c r="G39" s="6" t="s">
        <v>58</v>
      </c>
      <c r="H39" s="6" t="s">
        <v>47</v>
      </c>
      <c r="I39" s="7">
        <v>10.2</v>
      </c>
      <c r="J39" s="7">
        <v>0</v>
      </c>
      <c r="K39" s="7">
        <v>0</v>
      </c>
      <c r="L39" s="7">
        <v>0</v>
      </c>
      <c r="M39" s="7">
        <v>0</v>
      </c>
      <c r="N39" s="7">
        <v>10.2</v>
      </c>
      <c r="O39" s="7" t="s">
        <v>47</v>
      </c>
      <c r="P39" s="7">
        <v>1</v>
      </c>
      <c r="Q39" s="7" t="s">
        <v>47</v>
      </c>
      <c r="R39" s="7" t="s">
        <v>26</v>
      </c>
      <c r="S39" s="7" t="s">
        <v>26</v>
      </c>
      <c r="T39" s="7" t="s">
        <v>47</v>
      </c>
      <c r="U39" s="7">
        <v>6</v>
      </c>
      <c r="V39" s="7" t="s">
        <v>34</v>
      </c>
      <c r="W39" s="8">
        <f xml:space="preserve">VLOOKUP(D39,[1]sheet!$J:$O,6,0)</f>
        <v>32</v>
      </c>
    </row>
    <row r="40" s="1" customFormat="1" ht="16.5" spans="1:23">
      <c r="A40" s="6">
        <v>259</v>
      </c>
      <c r="B40" s="6" t="s">
        <v>22</v>
      </c>
      <c r="C40" s="6" t="s">
        <v>23</v>
      </c>
      <c r="D40" s="6" t="s">
        <v>125</v>
      </c>
      <c r="E40" s="6" t="s">
        <v>126</v>
      </c>
      <c r="F40" s="6" t="s">
        <v>26</v>
      </c>
      <c r="G40" s="6" t="s">
        <v>58</v>
      </c>
      <c r="H40" s="6" t="s">
        <v>47</v>
      </c>
      <c r="I40" s="7">
        <v>10.2</v>
      </c>
      <c r="J40" s="7">
        <v>0</v>
      </c>
      <c r="K40" s="7">
        <v>0</v>
      </c>
      <c r="L40" s="7">
        <v>0</v>
      </c>
      <c r="M40" s="7">
        <v>0</v>
      </c>
      <c r="N40" s="7">
        <v>10.2</v>
      </c>
      <c r="O40" s="7" t="s">
        <v>47</v>
      </c>
      <c r="P40" s="7">
        <v>1</v>
      </c>
      <c r="Q40" s="7" t="s">
        <v>47</v>
      </c>
      <c r="R40" s="7" t="s">
        <v>26</v>
      </c>
      <c r="S40" s="7" t="s">
        <v>26</v>
      </c>
      <c r="T40" s="7" t="s">
        <v>47</v>
      </c>
      <c r="U40" s="7">
        <v>6</v>
      </c>
      <c r="V40" s="7" t="s">
        <v>34</v>
      </c>
      <c r="W40" s="8">
        <f xml:space="preserve">VLOOKUP(D40,[1]sheet!$J:$O,6,0)</f>
        <v>32</v>
      </c>
    </row>
    <row r="41" s="1" customFormat="1" ht="16.5" spans="1:23">
      <c r="A41" s="6">
        <v>128</v>
      </c>
      <c r="B41" s="6" t="s">
        <v>22</v>
      </c>
      <c r="C41" s="6" t="s">
        <v>55</v>
      </c>
      <c r="D41" s="6" t="s">
        <v>127</v>
      </c>
      <c r="E41" s="6" t="s">
        <v>128</v>
      </c>
      <c r="F41" s="6" t="s">
        <v>26</v>
      </c>
      <c r="G41" s="6" t="s">
        <v>129</v>
      </c>
      <c r="H41" s="6" t="s">
        <v>47</v>
      </c>
      <c r="I41" s="7">
        <v>10.1</v>
      </c>
      <c r="J41" s="7">
        <v>0</v>
      </c>
      <c r="K41" s="7">
        <v>0</v>
      </c>
      <c r="L41" s="7">
        <v>0</v>
      </c>
      <c r="M41" s="7">
        <v>0</v>
      </c>
      <c r="N41" s="7">
        <v>10.1</v>
      </c>
      <c r="O41" s="7" t="s">
        <v>47</v>
      </c>
      <c r="P41" s="7">
        <v>1</v>
      </c>
      <c r="Q41" s="7" t="s">
        <v>47</v>
      </c>
      <c r="R41" s="7" t="s">
        <v>26</v>
      </c>
      <c r="S41" s="7" t="s">
        <v>26</v>
      </c>
      <c r="T41" s="7" t="s">
        <v>47</v>
      </c>
      <c r="U41" s="7">
        <v>6</v>
      </c>
      <c r="V41" s="7" t="s">
        <v>34</v>
      </c>
      <c r="W41" s="8" t="s">
        <v>51</v>
      </c>
    </row>
    <row r="42" s="1" customFormat="1" ht="16.5" spans="1:23">
      <c r="A42" s="6">
        <v>127</v>
      </c>
      <c r="B42" s="6" t="s">
        <v>22</v>
      </c>
      <c r="C42" s="6" t="s">
        <v>55</v>
      </c>
      <c r="D42" s="6" t="s">
        <v>130</v>
      </c>
      <c r="E42" s="6" t="s">
        <v>131</v>
      </c>
      <c r="F42" s="6" t="s">
        <v>26</v>
      </c>
      <c r="G42" s="6" t="s">
        <v>129</v>
      </c>
      <c r="H42" s="6" t="s">
        <v>47</v>
      </c>
      <c r="I42" s="7">
        <v>10.1</v>
      </c>
      <c r="J42" s="7">
        <v>0</v>
      </c>
      <c r="K42" s="7">
        <v>0</v>
      </c>
      <c r="L42" s="7">
        <v>0</v>
      </c>
      <c r="M42" s="7">
        <v>0</v>
      </c>
      <c r="N42" s="7">
        <v>10.1</v>
      </c>
      <c r="O42" s="7" t="s">
        <v>47</v>
      </c>
      <c r="P42" s="7">
        <v>1</v>
      </c>
      <c r="Q42" s="7" t="s">
        <v>47</v>
      </c>
      <c r="R42" s="7" t="s">
        <v>26</v>
      </c>
      <c r="S42" s="7" t="s">
        <v>26</v>
      </c>
      <c r="T42" s="7" t="s">
        <v>47</v>
      </c>
      <c r="U42" s="7">
        <v>6</v>
      </c>
      <c r="V42" s="7" t="s">
        <v>34</v>
      </c>
      <c r="W42" s="8" t="s">
        <v>51</v>
      </c>
    </row>
    <row r="43" s="1" customFormat="1" ht="16.5" spans="1:23">
      <c r="A43" s="6">
        <v>187</v>
      </c>
      <c r="B43" s="6" t="s">
        <v>22</v>
      </c>
      <c r="C43" s="6" t="s">
        <v>43</v>
      </c>
      <c r="D43" s="6" t="s">
        <v>132</v>
      </c>
      <c r="E43" s="6" t="s">
        <v>133</v>
      </c>
      <c r="F43" s="6" t="s">
        <v>26</v>
      </c>
      <c r="G43" s="6" t="s">
        <v>46</v>
      </c>
      <c r="H43" s="6" t="s">
        <v>47</v>
      </c>
      <c r="I43" s="7">
        <v>8.2</v>
      </c>
      <c r="J43" s="7">
        <v>0</v>
      </c>
      <c r="K43" s="7">
        <v>0</v>
      </c>
      <c r="L43" s="7">
        <v>0</v>
      </c>
      <c r="M43" s="7">
        <v>0</v>
      </c>
      <c r="N43" s="7">
        <v>8.2</v>
      </c>
      <c r="O43" s="7" t="s">
        <v>47</v>
      </c>
      <c r="P43" s="7">
        <v>1</v>
      </c>
      <c r="Q43" s="7" t="s">
        <v>47</v>
      </c>
      <c r="R43" s="7" t="s">
        <v>26</v>
      </c>
      <c r="S43" s="7" t="s">
        <v>26</v>
      </c>
      <c r="T43" s="7" t="s">
        <v>47</v>
      </c>
      <c r="U43" s="7">
        <v>24</v>
      </c>
      <c r="V43" s="7" t="s">
        <v>34</v>
      </c>
      <c r="W43" s="8">
        <f xml:space="preserve">VLOOKUP(D43,[1]sheet!$J:$O,6,0)</f>
        <v>50</v>
      </c>
    </row>
    <row r="44" s="1" customFormat="1" ht="16.5" spans="1:23">
      <c r="A44" s="6">
        <v>95</v>
      </c>
      <c r="B44" s="6" t="s">
        <v>22</v>
      </c>
      <c r="C44" s="6" t="s">
        <v>55</v>
      </c>
      <c r="D44" s="6" t="s">
        <v>134</v>
      </c>
      <c r="E44" s="6" t="s">
        <v>135</v>
      </c>
      <c r="F44" s="6" t="s">
        <v>26</v>
      </c>
      <c r="G44" s="6" t="s">
        <v>54</v>
      </c>
      <c r="H44" s="6" t="s">
        <v>47</v>
      </c>
      <c r="I44" s="7">
        <v>9.8</v>
      </c>
      <c r="J44" s="7">
        <v>0</v>
      </c>
      <c r="K44" s="7">
        <v>0</v>
      </c>
      <c r="L44" s="7">
        <v>0</v>
      </c>
      <c r="M44" s="7">
        <v>0</v>
      </c>
      <c r="N44" s="7">
        <v>9.8</v>
      </c>
      <c r="O44" s="7" t="s">
        <v>47</v>
      </c>
      <c r="P44" s="7">
        <v>1</v>
      </c>
      <c r="Q44" s="7" t="s">
        <v>47</v>
      </c>
      <c r="R44" s="7" t="s">
        <v>26</v>
      </c>
      <c r="S44" s="7" t="s">
        <v>26</v>
      </c>
      <c r="T44" s="7" t="s">
        <v>47</v>
      </c>
      <c r="U44" s="7">
        <v>24</v>
      </c>
      <c r="V44" s="7" t="s">
        <v>34</v>
      </c>
      <c r="W44" s="8" t="s">
        <v>51</v>
      </c>
    </row>
    <row r="45" s="1" customFormat="1" ht="16.5" spans="1:23">
      <c r="A45" s="6">
        <v>270</v>
      </c>
      <c r="B45" s="6" t="s">
        <v>22</v>
      </c>
      <c r="C45" s="6" t="s">
        <v>23</v>
      </c>
      <c r="D45" s="6" t="s">
        <v>136</v>
      </c>
      <c r="E45" s="6" t="s">
        <v>137</v>
      </c>
      <c r="F45" s="6" t="s">
        <v>26</v>
      </c>
      <c r="G45" s="6" t="s">
        <v>50</v>
      </c>
      <c r="H45" s="6" t="s">
        <v>47</v>
      </c>
      <c r="I45" s="7">
        <v>7.7</v>
      </c>
      <c r="J45" s="7">
        <v>0</v>
      </c>
      <c r="K45" s="7">
        <v>0</v>
      </c>
      <c r="L45" s="7">
        <v>0</v>
      </c>
      <c r="M45" s="7">
        <v>0</v>
      </c>
      <c r="N45" s="7">
        <v>7.7</v>
      </c>
      <c r="O45" s="7" t="s">
        <v>47</v>
      </c>
      <c r="P45" s="7">
        <v>1</v>
      </c>
      <c r="Q45" s="7" t="s">
        <v>47</v>
      </c>
      <c r="R45" s="7" t="s">
        <v>26</v>
      </c>
      <c r="S45" s="7" t="s">
        <v>26</v>
      </c>
      <c r="T45" s="7" t="s">
        <v>47</v>
      </c>
      <c r="U45" s="7">
        <v>12</v>
      </c>
      <c r="V45" s="7" t="s">
        <v>34</v>
      </c>
      <c r="W45" s="8">
        <f xml:space="preserve">VLOOKUP(D45,[1]sheet!$J:$O,6,0)</f>
        <v>60</v>
      </c>
    </row>
    <row r="46" s="1" customFormat="1" ht="16.5" spans="1:23">
      <c r="A46" s="6">
        <v>269</v>
      </c>
      <c r="B46" s="6" t="s">
        <v>22</v>
      </c>
      <c r="C46" s="6" t="s">
        <v>23</v>
      </c>
      <c r="D46" s="6" t="s">
        <v>138</v>
      </c>
      <c r="E46" s="6" t="s">
        <v>139</v>
      </c>
      <c r="F46" s="6" t="s">
        <v>26</v>
      </c>
      <c r="G46" s="6" t="s">
        <v>46</v>
      </c>
      <c r="H46" s="6" t="s">
        <v>47</v>
      </c>
      <c r="I46" s="7">
        <v>7.8</v>
      </c>
      <c r="J46" s="7">
        <v>0</v>
      </c>
      <c r="K46" s="7">
        <v>0</v>
      </c>
      <c r="L46" s="7">
        <v>0</v>
      </c>
      <c r="M46" s="7">
        <v>0</v>
      </c>
      <c r="N46" s="7">
        <v>7.8</v>
      </c>
      <c r="O46" s="7" t="s">
        <v>47</v>
      </c>
      <c r="P46" s="7">
        <v>1</v>
      </c>
      <c r="Q46" s="7" t="s">
        <v>47</v>
      </c>
      <c r="R46" s="7" t="s">
        <v>26</v>
      </c>
      <c r="S46" s="7" t="s">
        <v>26</v>
      </c>
      <c r="T46" s="7" t="s">
        <v>47</v>
      </c>
      <c r="U46" s="7">
        <v>24</v>
      </c>
      <c r="V46" s="7" t="s">
        <v>34</v>
      </c>
      <c r="W46" s="8">
        <f xml:space="preserve">VLOOKUP(D46,[1]sheet!$J:$O,6,0)</f>
        <v>50</v>
      </c>
    </row>
    <row r="47" s="1" customFormat="1" ht="16.5" spans="1:23">
      <c r="A47" s="6">
        <v>230</v>
      </c>
      <c r="B47" s="6" t="s">
        <v>22</v>
      </c>
      <c r="C47" s="6" t="s">
        <v>55</v>
      </c>
      <c r="D47" s="6" t="s">
        <v>140</v>
      </c>
      <c r="E47" s="6" t="s">
        <v>141</v>
      </c>
      <c r="F47" s="6" t="s">
        <v>26</v>
      </c>
      <c r="G47" s="6" t="s">
        <v>68</v>
      </c>
      <c r="H47" s="6" t="s">
        <v>47</v>
      </c>
      <c r="I47" s="7">
        <v>10.7</v>
      </c>
      <c r="J47" s="7">
        <v>0</v>
      </c>
      <c r="K47" s="7">
        <v>0</v>
      </c>
      <c r="L47" s="7">
        <v>0</v>
      </c>
      <c r="M47" s="7">
        <v>0</v>
      </c>
      <c r="N47" s="7">
        <v>10.7</v>
      </c>
      <c r="O47" s="7" t="s">
        <v>47</v>
      </c>
      <c r="P47" s="7">
        <v>1</v>
      </c>
      <c r="Q47" s="7" t="s">
        <v>47</v>
      </c>
      <c r="R47" s="7" t="s">
        <v>26</v>
      </c>
      <c r="S47" s="7" t="s">
        <v>26</v>
      </c>
      <c r="T47" s="7" t="s">
        <v>47</v>
      </c>
      <c r="U47" s="7">
        <v>8</v>
      </c>
      <c r="V47" s="7" t="s">
        <v>34</v>
      </c>
      <c r="W47" s="8">
        <f xml:space="preserve">VLOOKUP(D47,[1]sheet!$J:$O,6,0)</f>
        <v>28</v>
      </c>
    </row>
    <row r="48" s="1" customFormat="1" ht="16.5" spans="1:23">
      <c r="A48" s="6">
        <v>214</v>
      </c>
      <c r="B48" s="6" t="s">
        <v>22</v>
      </c>
      <c r="C48" s="6" t="s">
        <v>55</v>
      </c>
      <c r="D48" s="6" t="s">
        <v>142</v>
      </c>
      <c r="E48" s="6" t="s">
        <v>143</v>
      </c>
      <c r="F48" s="6" t="s">
        <v>26</v>
      </c>
      <c r="G48" s="6" t="s">
        <v>58</v>
      </c>
      <c r="H48" s="6" t="s">
        <v>47</v>
      </c>
      <c r="I48" s="7">
        <v>10</v>
      </c>
      <c r="J48" s="7">
        <v>0</v>
      </c>
      <c r="K48" s="7">
        <v>0</v>
      </c>
      <c r="L48" s="7">
        <v>0</v>
      </c>
      <c r="M48" s="7">
        <v>0</v>
      </c>
      <c r="N48" s="7">
        <v>10</v>
      </c>
      <c r="O48" s="7" t="s">
        <v>47</v>
      </c>
      <c r="P48" s="7">
        <v>1</v>
      </c>
      <c r="Q48" s="7" t="s">
        <v>47</v>
      </c>
      <c r="R48" s="7" t="s">
        <v>26</v>
      </c>
      <c r="S48" s="7" t="s">
        <v>26</v>
      </c>
      <c r="T48" s="7" t="s">
        <v>47</v>
      </c>
      <c r="U48" s="7">
        <v>6</v>
      </c>
      <c r="V48" s="7" t="s">
        <v>34</v>
      </c>
      <c r="W48" s="8">
        <f xml:space="preserve">VLOOKUP(D48,[1]sheet!$J:$O,6,0)</f>
        <v>32</v>
      </c>
    </row>
    <row r="49" s="1" customFormat="1" ht="16.5" spans="1:23">
      <c r="A49" s="6">
        <v>218</v>
      </c>
      <c r="B49" s="6" t="s">
        <v>22</v>
      </c>
      <c r="C49" s="6" t="s">
        <v>55</v>
      </c>
      <c r="D49" s="6" t="s">
        <v>144</v>
      </c>
      <c r="E49" s="6" t="s">
        <v>145</v>
      </c>
      <c r="F49" s="6" t="s">
        <v>26</v>
      </c>
      <c r="G49" s="6" t="s">
        <v>58</v>
      </c>
      <c r="H49" s="6" t="s">
        <v>47</v>
      </c>
      <c r="I49" s="7">
        <v>10</v>
      </c>
      <c r="J49" s="7">
        <v>0</v>
      </c>
      <c r="K49" s="7">
        <v>0</v>
      </c>
      <c r="L49" s="7">
        <v>0</v>
      </c>
      <c r="M49" s="7">
        <v>0</v>
      </c>
      <c r="N49" s="7">
        <v>10</v>
      </c>
      <c r="O49" s="7" t="s">
        <v>47</v>
      </c>
      <c r="P49" s="7">
        <v>1</v>
      </c>
      <c r="Q49" s="7" t="s">
        <v>47</v>
      </c>
      <c r="R49" s="7" t="s">
        <v>26</v>
      </c>
      <c r="S49" s="7" t="s">
        <v>26</v>
      </c>
      <c r="T49" s="7" t="s">
        <v>47</v>
      </c>
      <c r="U49" s="7">
        <v>6</v>
      </c>
      <c r="V49" s="7" t="s">
        <v>34</v>
      </c>
      <c r="W49" s="8">
        <f xml:space="preserve">VLOOKUP(D49,[1]sheet!$J:$O,6,0)</f>
        <v>32</v>
      </c>
    </row>
    <row r="50" s="1" customFormat="1" ht="16.5" spans="1:23">
      <c r="A50" s="6">
        <v>222</v>
      </c>
      <c r="B50" s="6" t="s">
        <v>22</v>
      </c>
      <c r="C50" s="6" t="s">
        <v>55</v>
      </c>
      <c r="D50" s="6" t="s">
        <v>146</v>
      </c>
      <c r="E50" s="6" t="s">
        <v>147</v>
      </c>
      <c r="F50" s="6" t="s">
        <v>26</v>
      </c>
      <c r="G50" s="6" t="s">
        <v>148</v>
      </c>
      <c r="H50" s="6" t="s">
        <v>47</v>
      </c>
      <c r="I50" s="7">
        <v>9.1</v>
      </c>
      <c r="J50" s="7">
        <v>0</v>
      </c>
      <c r="K50" s="7">
        <v>0</v>
      </c>
      <c r="L50" s="7">
        <v>0</v>
      </c>
      <c r="M50" s="7">
        <v>0</v>
      </c>
      <c r="N50" s="7">
        <v>9.1</v>
      </c>
      <c r="O50" s="7" t="s">
        <v>47</v>
      </c>
      <c r="P50" s="7">
        <v>1</v>
      </c>
      <c r="Q50" s="7" t="s">
        <v>47</v>
      </c>
      <c r="R50" s="7" t="s">
        <v>26</v>
      </c>
      <c r="S50" s="7" t="s">
        <v>26</v>
      </c>
      <c r="T50" s="7" t="s">
        <v>47</v>
      </c>
      <c r="U50" s="7">
        <v>24</v>
      </c>
      <c r="V50" s="7" t="s">
        <v>34</v>
      </c>
      <c r="W50" s="8">
        <f xml:space="preserve">VLOOKUP(D50,[1]sheet!$J:$O,6,0)</f>
        <v>32</v>
      </c>
    </row>
    <row r="51" s="1" customFormat="1" ht="16.5" spans="1:23">
      <c r="A51" s="6">
        <v>228</v>
      </c>
      <c r="B51" s="6" t="s">
        <v>22</v>
      </c>
      <c r="C51" s="6" t="s">
        <v>55</v>
      </c>
      <c r="D51" s="6" t="s">
        <v>149</v>
      </c>
      <c r="E51" s="6" t="s">
        <v>150</v>
      </c>
      <c r="F51" s="6" t="s">
        <v>26</v>
      </c>
      <c r="G51" s="6" t="s">
        <v>151</v>
      </c>
      <c r="H51" s="6" t="s">
        <v>47</v>
      </c>
      <c r="I51" s="7">
        <v>9.2</v>
      </c>
      <c r="J51" s="7">
        <v>0</v>
      </c>
      <c r="K51" s="7">
        <v>0</v>
      </c>
      <c r="L51" s="7">
        <v>0</v>
      </c>
      <c r="M51" s="7">
        <v>0</v>
      </c>
      <c r="N51" s="7">
        <v>9.2</v>
      </c>
      <c r="O51" s="7" t="s">
        <v>47</v>
      </c>
      <c r="P51" s="7">
        <v>1</v>
      </c>
      <c r="Q51" s="7" t="s">
        <v>34</v>
      </c>
      <c r="R51" s="7" t="s">
        <v>39</v>
      </c>
      <c r="S51" s="7" t="s">
        <v>39</v>
      </c>
      <c r="T51" s="7"/>
      <c r="U51" s="7"/>
      <c r="V51" s="7"/>
      <c r="W51" s="8">
        <f xml:space="preserve">VLOOKUP(D51,[1]sheet!$J:$O,6,0)</f>
        <v>16</v>
      </c>
    </row>
    <row r="52" s="1" customFormat="1" ht="16.5" spans="1:23">
      <c r="A52" s="6">
        <v>209</v>
      </c>
      <c r="B52" s="6" t="s">
        <v>22</v>
      </c>
      <c r="C52" s="6" t="s">
        <v>55</v>
      </c>
      <c r="D52" s="6" t="s">
        <v>152</v>
      </c>
      <c r="E52" s="6" t="s">
        <v>153</v>
      </c>
      <c r="F52" s="6" t="s">
        <v>26</v>
      </c>
      <c r="G52" s="6" t="s">
        <v>58</v>
      </c>
      <c r="H52" s="6" t="s">
        <v>47</v>
      </c>
      <c r="I52" s="7">
        <v>10.2</v>
      </c>
      <c r="J52" s="7">
        <v>0</v>
      </c>
      <c r="K52" s="7">
        <v>0</v>
      </c>
      <c r="L52" s="7">
        <v>0</v>
      </c>
      <c r="M52" s="7">
        <v>0</v>
      </c>
      <c r="N52" s="7">
        <v>10.2</v>
      </c>
      <c r="O52" s="7" t="s">
        <v>47</v>
      </c>
      <c r="P52" s="7">
        <v>1</v>
      </c>
      <c r="Q52" s="7" t="s">
        <v>47</v>
      </c>
      <c r="R52" s="7" t="s">
        <v>26</v>
      </c>
      <c r="S52" s="7" t="s">
        <v>26</v>
      </c>
      <c r="T52" s="7" t="s">
        <v>47</v>
      </c>
      <c r="U52" s="7">
        <v>6</v>
      </c>
      <c r="V52" s="7" t="s">
        <v>34</v>
      </c>
      <c r="W52" s="8">
        <f xml:space="preserve">VLOOKUP(D52,[1]sheet!$J:$O,6,0)</f>
        <v>32</v>
      </c>
    </row>
    <row r="53" s="1" customFormat="1" ht="16.5" spans="1:23">
      <c r="A53" s="6">
        <v>224</v>
      </c>
      <c r="B53" s="6" t="s">
        <v>22</v>
      </c>
      <c r="C53" s="6" t="s">
        <v>55</v>
      </c>
      <c r="D53" s="6" t="s">
        <v>154</v>
      </c>
      <c r="E53" s="6" t="s">
        <v>155</v>
      </c>
      <c r="F53" s="6" t="s">
        <v>26</v>
      </c>
      <c r="G53" s="6" t="s">
        <v>58</v>
      </c>
      <c r="H53" s="6" t="s">
        <v>47</v>
      </c>
      <c r="I53" s="7">
        <v>10.2</v>
      </c>
      <c r="J53" s="7">
        <v>0</v>
      </c>
      <c r="K53" s="7">
        <v>0</v>
      </c>
      <c r="L53" s="7">
        <v>0</v>
      </c>
      <c r="M53" s="7">
        <v>0</v>
      </c>
      <c r="N53" s="7">
        <v>10.2</v>
      </c>
      <c r="O53" s="7" t="s">
        <v>47</v>
      </c>
      <c r="P53" s="7">
        <v>1</v>
      </c>
      <c r="Q53" s="7" t="s">
        <v>47</v>
      </c>
      <c r="R53" s="7" t="s">
        <v>26</v>
      </c>
      <c r="S53" s="7" t="s">
        <v>26</v>
      </c>
      <c r="T53" s="7" t="s">
        <v>47</v>
      </c>
      <c r="U53" s="7">
        <v>6</v>
      </c>
      <c r="V53" s="7" t="s">
        <v>34</v>
      </c>
      <c r="W53" s="8">
        <f xml:space="preserve">VLOOKUP(D53,[1]sheet!$J:$O,6,0)</f>
        <v>32</v>
      </c>
    </row>
    <row r="54" s="1" customFormat="1" ht="16.5" spans="1:23">
      <c r="A54" s="6">
        <v>219</v>
      </c>
      <c r="B54" s="6" t="s">
        <v>22</v>
      </c>
      <c r="C54" s="6" t="s">
        <v>55</v>
      </c>
      <c r="D54" s="6" t="s">
        <v>156</v>
      </c>
      <c r="E54" s="6" t="s">
        <v>157</v>
      </c>
      <c r="F54" s="6" t="s">
        <v>26</v>
      </c>
      <c r="G54" s="6" t="s">
        <v>68</v>
      </c>
      <c r="H54" s="6" t="s">
        <v>47</v>
      </c>
      <c r="I54" s="7">
        <v>10.7</v>
      </c>
      <c r="J54" s="7">
        <v>0</v>
      </c>
      <c r="K54" s="7">
        <v>0</v>
      </c>
      <c r="L54" s="7">
        <v>0</v>
      </c>
      <c r="M54" s="7">
        <v>0</v>
      </c>
      <c r="N54" s="7">
        <v>10.7</v>
      </c>
      <c r="O54" s="7" t="s">
        <v>47</v>
      </c>
      <c r="P54" s="7">
        <v>1</v>
      </c>
      <c r="Q54" s="7" t="s">
        <v>47</v>
      </c>
      <c r="R54" s="7" t="s">
        <v>26</v>
      </c>
      <c r="S54" s="7" t="s">
        <v>26</v>
      </c>
      <c r="T54" s="7" t="s">
        <v>47</v>
      </c>
      <c r="U54" s="7">
        <v>8</v>
      </c>
      <c r="V54" s="7" t="s">
        <v>34</v>
      </c>
      <c r="W54" s="8">
        <f xml:space="preserve">VLOOKUP(D54,[1]sheet!$J:$O,6,0)</f>
        <v>28</v>
      </c>
    </row>
    <row r="55" s="1" customFormat="1" ht="16.5" spans="1:23">
      <c r="A55" s="6">
        <v>221</v>
      </c>
      <c r="B55" s="6" t="s">
        <v>22</v>
      </c>
      <c r="C55" s="6" t="s">
        <v>55</v>
      </c>
      <c r="D55" s="6" t="s">
        <v>158</v>
      </c>
      <c r="E55" s="6" t="s">
        <v>159</v>
      </c>
      <c r="F55" s="6" t="s">
        <v>26</v>
      </c>
      <c r="G55" s="6" t="s">
        <v>68</v>
      </c>
      <c r="H55" s="6" t="s">
        <v>47</v>
      </c>
      <c r="I55" s="7">
        <v>10.7</v>
      </c>
      <c r="J55" s="7">
        <v>0</v>
      </c>
      <c r="K55" s="7">
        <v>0</v>
      </c>
      <c r="L55" s="7">
        <v>0</v>
      </c>
      <c r="M55" s="7">
        <v>0</v>
      </c>
      <c r="N55" s="7">
        <v>10.7</v>
      </c>
      <c r="O55" s="7" t="s">
        <v>47</v>
      </c>
      <c r="P55" s="7">
        <v>1</v>
      </c>
      <c r="Q55" s="7" t="s">
        <v>47</v>
      </c>
      <c r="R55" s="7" t="s">
        <v>26</v>
      </c>
      <c r="S55" s="7" t="s">
        <v>26</v>
      </c>
      <c r="T55" s="7" t="s">
        <v>47</v>
      </c>
      <c r="U55" s="7">
        <v>8</v>
      </c>
      <c r="V55" s="7" t="s">
        <v>34</v>
      </c>
      <c r="W55" s="8">
        <f xml:space="preserve">VLOOKUP(D55,[1]sheet!$J:$O,6,0)</f>
        <v>28</v>
      </c>
    </row>
    <row r="56" s="1" customFormat="1" ht="16.5" spans="1:23">
      <c r="A56" s="6">
        <v>215</v>
      </c>
      <c r="B56" s="6" t="s">
        <v>22</v>
      </c>
      <c r="C56" s="6" t="s">
        <v>55</v>
      </c>
      <c r="D56" s="6" t="s">
        <v>160</v>
      </c>
      <c r="E56" s="6" t="s">
        <v>161</v>
      </c>
      <c r="F56" s="6" t="s">
        <v>26</v>
      </c>
      <c r="G56" s="6" t="s">
        <v>58</v>
      </c>
      <c r="H56" s="6" t="s">
        <v>47</v>
      </c>
      <c r="I56" s="7">
        <v>10.2</v>
      </c>
      <c r="J56" s="7">
        <v>0</v>
      </c>
      <c r="K56" s="7">
        <v>0</v>
      </c>
      <c r="L56" s="7">
        <v>0</v>
      </c>
      <c r="M56" s="7">
        <v>0</v>
      </c>
      <c r="N56" s="7">
        <v>10.2</v>
      </c>
      <c r="O56" s="7" t="s">
        <v>47</v>
      </c>
      <c r="P56" s="7">
        <v>1</v>
      </c>
      <c r="Q56" s="7" t="s">
        <v>47</v>
      </c>
      <c r="R56" s="7" t="s">
        <v>26</v>
      </c>
      <c r="S56" s="7" t="s">
        <v>26</v>
      </c>
      <c r="T56" s="7" t="s">
        <v>47</v>
      </c>
      <c r="U56" s="7">
        <v>6</v>
      </c>
      <c r="V56" s="7" t="s">
        <v>34</v>
      </c>
      <c r="W56" s="8">
        <f xml:space="preserve">VLOOKUP(D56,[1]sheet!$J:$O,6,0)</f>
        <v>32</v>
      </c>
    </row>
    <row r="57" s="1" customFormat="1" ht="16.5" spans="1:23">
      <c r="A57" s="6">
        <v>210</v>
      </c>
      <c r="B57" s="6" t="s">
        <v>22</v>
      </c>
      <c r="C57" s="6" t="s">
        <v>55</v>
      </c>
      <c r="D57" s="6" t="s">
        <v>162</v>
      </c>
      <c r="E57" s="6" t="s">
        <v>163</v>
      </c>
      <c r="F57" s="6" t="s">
        <v>26</v>
      </c>
      <c r="G57" s="6" t="s">
        <v>151</v>
      </c>
      <c r="H57" s="6" t="s">
        <v>47</v>
      </c>
      <c r="I57" s="7">
        <v>9.1</v>
      </c>
      <c r="J57" s="7">
        <v>0</v>
      </c>
      <c r="K57" s="7">
        <v>0</v>
      </c>
      <c r="L57" s="7">
        <v>0</v>
      </c>
      <c r="M57" s="7">
        <v>0</v>
      </c>
      <c r="N57" s="7">
        <v>9.1</v>
      </c>
      <c r="O57" s="7" t="s">
        <v>47</v>
      </c>
      <c r="P57" s="7">
        <v>1</v>
      </c>
      <c r="Q57" s="7" t="s">
        <v>47</v>
      </c>
      <c r="R57" s="7" t="s">
        <v>26</v>
      </c>
      <c r="S57" s="7" t="s">
        <v>26</v>
      </c>
      <c r="T57" s="7"/>
      <c r="U57" s="7"/>
      <c r="V57" s="7"/>
      <c r="W57" s="8">
        <f xml:space="preserve">VLOOKUP(D57,[1]sheet!$J:$O,6,0)</f>
        <v>16</v>
      </c>
    </row>
    <row r="58" s="1" customFormat="1" ht="16.5" spans="1:23">
      <c r="A58" s="6">
        <v>223</v>
      </c>
      <c r="B58" s="6" t="s">
        <v>22</v>
      </c>
      <c r="C58" s="6" t="s">
        <v>55</v>
      </c>
      <c r="D58" s="6" t="s">
        <v>164</v>
      </c>
      <c r="E58" s="6" t="s">
        <v>165</v>
      </c>
      <c r="F58" s="6" t="s">
        <v>26</v>
      </c>
      <c r="G58" s="6" t="s">
        <v>58</v>
      </c>
      <c r="H58" s="6" t="s">
        <v>47</v>
      </c>
      <c r="I58" s="7">
        <v>11.1</v>
      </c>
      <c r="J58" s="7">
        <v>0</v>
      </c>
      <c r="K58" s="7">
        <v>0</v>
      </c>
      <c r="L58" s="7">
        <v>0</v>
      </c>
      <c r="M58" s="7">
        <v>0</v>
      </c>
      <c r="N58" s="7">
        <v>11.1</v>
      </c>
      <c r="O58" s="7" t="s">
        <v>47</v>
      </c>
      <c r="P58" s="7">
        <v>1</v>
      </c>
      <c r="Q58" s="7" t="s">
        <v>47</v>
      </c>
      <c r="R58" s="7" t="s">
        <v>26</v>
      </c>
      <c r="S58" s="7" t="s">
        <v>26</v>
      </c>
      <c r="T58" s="7" t="s">
        <v>47</v>
      </c>
      <c r="U58" s="7">
        <v>6</v>
      </c>
      <c r="V58" s="7" t="s">
        <v>34</v>
      </c>
      <c r="W58" s="8">
        <f xml:space="preserve">VLOOKUP(D58,[1]sheet!$J:$O,6,0)</f>
        <v>32</v>
      </c>
    </row>
    <row r="59" s="1" customFormat="1" ht="16.5" spans="1:23">
      <c r="A59" s="6">
        <v>94</v>
      </c>
      <c r="B59" s="6" t="s">
        <v>22</v>
      </c>
      <c r="C59" s="6" t="s">
        <v>55</v>
      </c>
      <c r="D59" s="6" t="s">
        <v>166</v>
      </c>
      <c r="E59" s="6" t="s">
        <v>167</v>
      </c>
      <c r="F59" s="6" t="s">
        <v>26</v>
      </c>
      <c r="G59" s="6" t="s">
        <v>168</v>
      </c>
      <c r="H59" s="6" t="s">
        <v>47</v>
      </c>
      <c r="I59" s="7">
        <v>7.6</v>
      </c>
      <c r="J59" s="7">
        <v>0</v>
      </c>
      <c r="K59" s="7">
        <v>0</v>
      </c>
      <c r="L59" s="7">
        <v>0</v>
      </c>
      <c r="M59" s="7">
        <v>0</v>
      </c>
      <c r="N59" s="7">
        <v>7.6</v>
      </c>
      <c r="O59" s="7" t="s">
        <v>47</v>
      </c>
      <c r="P59" s="7">
        <v>1</v>
      </c>
      <c r="Q59" s="7" t="s">
        <v>47</v>
      </c>
      <c r="R59" s="7" t="s">
        <v>26</v>
      </c>
      <c r="S59" s="7" t="s">
        <v>26</v>
      </c>
      <c r="T59" s="7" t="s">
        <v>47</v>
      </c>
      <c r="U59" s="7">
        <v>24</v>
      </c>
      <c r="V59" s="7" t="s">
        <v>34</v>
      </c>
      <c r="W59" s="8">
        <f xml:space="preserve">VLOOKUP(D59,[1]sheet!$J:$O,6,0)</f>
        <v>40</v>
      </c>
    </row>
    <row r="60" s="1" customFormat="1" ht="16.5" spans="1:23">
      <c r="A60" s="6">
        <v>146</v>
      </c>
      <c r="B60" s="6" t="s">
        <v>22</v>
      </c>
      <c r="C60" s="6" t="s">
        <v>43</v>
      </c>
      <c r="D60" s="6" t="s">
        <v>169</v>
      </c>
      <c r="E60" s="6" t="s">
        <v>170</v>
      </c>
      <c r="F60" s="6" t="s">
        <v>26</v>
      </c>
      <c r="G60" s="6" t="s">
        <v>171</v>
      </c>
      <c r="H60" s="6" t="s">
        <v>172</v>
      </c>
      <c r="I60" s="7">
        <v>0.25</v>
      </c>
      <c r="J60" s="7">
        <v>0</v>
      </c>
      <c r="K60" s="7">
        <v>0</v>
      </c>
      <c r="L60" s="7">
        <v>0</v>
      </c>
      <c r="M60" s="7">
        <v>0</v>
      </c>
      <c r="N60" s="7">
        <v>0.25</v>
      </c>
      <c r="O60" s="7" t="s">
        <v>172</v>
      </c>
      <c r="P60" s="7">
        <v>1</v>
      </c>
      <c r="Q60" s="7" t="s">
        <v>172</v>
      </c>
      <c r="R60" s="7" t="s">
        <v>26</v>
      </c>
      <c r="S60" s="7" t="s">
        <v>26</v>
      </c>
      <c r="T60" s="7" t="s">
        <v>172</v>
      </c>
      <c r="U60" s="7">
        <v>12</v>
      </c>
      <c r="V60" s="7" t="s">
        <v>34</v>
      </c>
      <c r="W60" s="8">
        <f xml:space="preserve">VLOOKUP(D60,[1]sheet!$J:$O,6,0)</f>
        <v>24</v>
      </c>
    </row>
    <row r="61" s="1" customFormat="1" ht="16.5" spans="1:23">
      <c r="A61" s="6">
        <v>207</v>
      </c>
      <c r="B61" s="6" t="s">
        <v>22</v>
      </c>
      <c r="C61" s="6" t="s">
        <v>43</v>
      </c>
      <c r="D61" s="6" t="s">
        <v>173</v>
      </c>
      <c r="E61" s="6" t="s">
        <v>174</v>
      </c>
      <c r="F61" s="6" t="s">
        <v>26</v>
      </c>
      <c r="G61" s="6" t="s">
        <v>175</v>
      </c>
      <c r="H61" s="6" t="s">
        <v>47</v>
      </c>
      <c r="I61" s="7">
        <v>13.5</v>
      </c>
      <c r="J61" s="7">
        <v>0</v>
      </c>
      <c r="K61" s="7">
        <v>0</v>
      </c>
      <c r="L61" s="7">
        <v>0</v>
      </c>
      <c r="M61" s="7">
        <v>0</v>
      </c>
      <c r="N61" s="7">
        <v>13.5</v>
      </c>
      <c r="O61" s="7" t="s">
        <v>47</v>
      </c>
      <c r="P61" s="7">
        <v>1</v>
      </c>
      <c r="Q61" s="7" t="s">
        <v>47</v>
      </c>
      <c r="R61" s="7" t="s">
        <v>26</v>
      </c>
      <c r="S61" s="7" t="s">
        <v>26</v>
      </c>
      <c r="T61" s="7" t="s">
        <v>47</v>
      </c>
      <c r="U61" s="7">
        <v>4</v>
      </c>
      <c r="V61" s="7" t="s">
        <v>34</v>
      </c>
      <c r="W61" s="8">
        <f xml:space="preserve">VLOOKUP(D61,[1]sheet!$J:$O,6,0)</f>
        <v>24</v>
      </c>
    </row>
    <row r="62" s="1" customFormat="1" ht="16.5" hidden="1" spans="1:23">
      <c r="A62" s="6">
        <v>42</v>
      </c>
      <c r="B62" s="6" t="s">
        <v>22</v>
      </c>
      <c r="C62" s="6" t="s">
        <v>65</v>
      </c>
      <c r="D62" s="6" t="s">
        <v>176</v>
      </c>
      <c r="E62" s="6" t="s">
        <v>177</v>
      </c>
      <c r="F62" s="6" t="s">
        <v>26</v>
      </c>
      <c r="G62" s="6" t="s">
        <v>68</v>
      </c>
      <c r="H62" s="6" t="s">
        <v>47</v>
      </c>
      <c r="I62" s="7">
        <v>10.5</v>
      </c>
      <c r="J62" s="7">
        <v>0.03219664</v>
      </c>
      <c r="K62" s="7">
        <v>0.445</v>
      </c>
      <c r="L62" s="7">
        <v>0.238</v>
      </c>
      <c r="M62" s="7">
        <v>0.304</v>
      </c>
      <c r="N62" s="7">
        <v>10.5</v>
      </c>
      <c r="O62" s="7" t="s">
        <v>47</v>
      </c>
      <c r="P62" s="7">
        <v>1</v>
      </c>
      <c r="Q62" s="7" t="s">
        <v>47</v>
      </c>
      <c r="R62" s="7" t="s">
        <v>26</v>
      </c>
      <c r="S62" s="7" t="s">
        <v>26</v>
      </c>
      <c r="T62" s="7" t="s">
        <v>47</v>
      </c>
      <c r="U62" s="7">
        <v>8</v>
      </c>
      <c r="V62" s="7" t="s">
        <v>34</v>
      </c>
      <c r="W62" s="7"/>
    </row>
    <row r="63" s="1" customFormat="1" ht="16.5" spans="1:23">
      <c r="A63" s="6">
        <v>175</v>
      </c>
      <c r="B63" s="6" t="s">
        <v>22</v>
      </c>
      <c r="C63" s="6" t="s">
        <v>43</v>
      </c>
      <c r="D63" s="6" t="s">
        <v>176</v>
      </c>
      <c r="E63" s="6" t="s">
        <v>177</v>
      </c>
      <c r="F63" s="6" t="s">
        <v>26</v>
      </c>
      <c r="G63" s="6" t="s">
        <v>68</v>
      </c>
      <c r="H63" s="6" t="s">
        <v>47</v>
      </c>
      <c r="I63" s="7">
        <v>10.5</v>
      </c>
      <c r="J63" s="7">
        <v>0</v>
      </c>
      <c r="K63" s="7">
        <v>0</v>
      </c>
      <c r="L63" s="7">
        <v>0</v>
      </c>
      <c r="M63" s="7">
        <v>0</v>
      </c>
      <c r="N63" s="7">
        <v>10.5</v>
      </c>
      <c r="O63" s="7" t="s">
        <v>47</v>
      </c>
      <c r="P63" s="7">
        <v>1</v>
      </c>
      <c r="Q63" s="7" t="s">
        <v>47</v>
      </c>
      <c r="R63" s="7" t="s">
        <v>26</v>
      </c>
      <c r="S63" s="7" t="s">
        <v>26</v>
      </c>
      <c r="T63" s="7" t="s">
        <v>47</v>
      </c>
      <c r="U63" s="7">
        <v>8</v>
      </c>
      <c r="V63" s="7" t="s">
        <v>34</v>
      </c>
      <c r="W63" s="8">
        <f xml:space="preserve">VLOOKUP(D63,[1]sheet!$J:$O,6,0)</f>
        <v>28</v>
      </c>
    </row>
    <row r="64" s="1" customFormat="1" ht="16.5" spans="1:23">
      <c r="A64" s="6">
        <v>174</v>
      </c>
      <c r="B64" s="6" t="s">
        <v>22</v>
      </c>
      <c r="C64" s="6" t="s">
        <v>43</v>
      </c>
      <c r="D64" s="6" t="s">
        <v>178</v>
      </c>
      <c r="E64" s="6" t="s">
        <v>179</v>
      </c>
      <c r="F64" s="6" t="s">
        <v>26</v>
      </c>
      <c r="G64" s="6" t="s">
        <v>50</v>
      </c>
      <c r="H64" s="6" t="s">
        <v>47</v>
      </c>
      <c r="I64" s="7">
        <v>10.9</v>
      </c>
      <c r="J64" s="7">
        <v>0</v>
      </c>
      <c r="K64" s="7">
        <v>0</v>
      </c>
      <c r="L64" s="7">
        <v>0</v>
      </c>
      <c r="M64" s="7">
        <v>0</v>
      </c>
      <c r="N64" s="7">
        <v>10.9</v>
      </c>
      <c r="O64" s="7" t="s">
        <v>47</v>
      </c>
      <c r="P64" s="7">
        <v>1</v>
      </c>
      <c r="Q64" s="7" t="s">
        <v>47</v>
      </c>
      <c r="R64" s="7" t="s">
        <v>26</v>
      </c>
      <c r="S64" s="7" t="s">
        <v>26</v>
      </c>
      <c r="T64" s="7" t="s">
        <v>47</v>
      </c>
      <c r="U64" s="7">
        <v>12</v>
      </c>
      <c r="V64" s="7" t="s">
        <v>34</v>
      </c>
      <c r="W64" s="8">
        <f xml:space="preserve">VLOOKUP(D64,[1]sheet!$J:$O,6,0)</f>
        <v>32</v>
      </c>
    </row>
    <row r="65" s="1" customFormat="1" ht="16.5" spans="1:23">
      <c r="A65" s="6">
        <v>46</v>
      </c>
      <c r="B65" s="6" t="s">
        <v>22</v>
      </c>
      <c r="C65" s="6" t="s">
        <v>65</v>
      </c>
      <c r="D65" s="6" t="s">
        <v>180</v>
      </c>
      <c r="E65" s="6" t="s">
        <v>181</v>
      </c>
      <c r="F65" s="6" t="s">
        <v>26</v>
      </c>
      <c r="G65" s="6" t="s">
        <v>58</v>
      </c>
      <c r="H65" s="6" t="s">
        <v>47</v>
      </c>
      <c r="I65" s="7">
        <v>10.2</v>
      </c>
      <c r="J65" s="7">
        <v>0</v>
      </c>
      <c r="K65" s="7">
        <v>0</v>
      </c>
      <c r="L65" s="7">
        <v>0</v>
      </c>
      <c r="M65" s="7">
        <v>0</v>
      </c>
      <c r="N65" s="7">
        <v>10.2</v>
      </c>
      <c r="O65" s="7" t="s">
        <v>47</v>
      </c>
      <c r="P65" s="7">
        <v>1</v>
      </c>
      <c r="Q65" s="7" t="s">
        <v>47</v>
      </c>
      <c r="R65" s="7" t="s">
        <v>26</v>
      </c>
      <c r="S65" s="7" t="s">
        <v>26</v>
      </c>
      <c r="T65" s="7" t="s">
        <v>47</v>
      </c>
      <c r="U65" s="7">
        <v>6</v>
      </c>
      <c r="V65" s="7" t="s">
        <v>34</v>
      </c>
      <c r="W65" s="8">
        <f xml:space="preserve">VLOOKUP(D65,[1]sheet!$J:$O,6,0)</f>
        <v>32</v>
      </c>
    </row>
    <row r="66" s="1" customFormat="1" ht="16.5" spans="1:23">
      <c r="A66" s="6">
        <v>171</v>
      </c>
      <c r="B66" s="6" t="s">
        <v>22</v>
      </c>
      <c r="C66" s="6" t="s">
        <v>43</v>
      </c>
      <c r="D66" s="6" t="s">
        <v>180</v>
      </c>
      <c r="E66" s="6" t="s">
        <v>181</v>
      </c>
      <c r="F66" s="6" t="s">
        <v>26</v>
      </c>
      <c r="G66" s="6" t="s">
        <v>58</v>
      </c>
      <c r="H66" s="6" t="s">
        <v>47</v>
      </c>
      <c r="I66" s="7">
        <v>10.2</v>
      </c>
      <c r="J66" s="7">
        <v>0</v>
      </c>
      <c r="K66" s="7">
        <v>0</v>
      </c>
      <c r="L66" s="7">
        <v>0</v>
      </c>
      <c r="M66" s="7">
        <v>0</v>
      </c>
      <c r="N66" s="7">
        <v>10.2</v>
      </c>
      <c r="O66" s="7" t="s">
        <v>47</v>
      </c>
      <c r="P66" s="7">
        <v>1</v>
      </c>
      <c r="Q66" s="7" t="s">
        <v>47</v>
      </c>
      <c r="R66" s="7" t="s">
        <v>26</v>
      </c>
      <c r="S66" s="7" t="s">
        <v>26</v>
      </c>
      <c r="T66" s="7" t="s">
        <v>47</v>
      </c>
      <c r="U66" s="7">
        <v>6</v>
      </c>
      <c r="V66" s="7" t="s">
        <v>34</v>
      </c>
      <c r="W66" s="8">
        <f xml:space="preserve">VLOOKUP(D66,[1]sheet!$J:$O,6,0)</f>
        <v>32</v>
      </c>
    </row>
    <row r="67" s="1" customFormat="1" ht="16.5" spans="1:23">
      <c r="A67" s="6">
        <v>45</v>
      </c>
      <c r="B67" s="6" t="s">
        <v>22</v>
      </c>
      <c r="C67" s="6" t="s">
        <v>65</v>
      </c>
      <c r="D67" s="6" t="s">
        <v>182</v>
      </c>
      <c r="E67" s="6" t="s">
        <v>183</v>
      </c>
      <c r="F67" s="6" t="s">
        <v>26</v>
      </c>
      <c r="G67" s="6" t="s">
        <v>58</v>
      </c>
      <c r="H67" s="6" t="s">
        <v>47</v>
      </c>
      <c r="I67" s="7">
        <v>12.4</v>
      </c>
      <c r="J67" s="7">
        <v>0</v>
      </c>
      <c r="K67" s="7">
        <v>0</v>
      </c>
      <c r="L67" s="7">
        <v>0</v>
      </c>
      <c r="M67" s="7">
        <v>0</v>
      </c>
      <c r="N67" s="7">
        <v>12.4</v>
      </c>
      <c r="O67" s="7" t="s">
        <v>47</v>
      </c>
      <c r="P67" s="7">
        <v>1</v>
      </c>
      <c r="Q67" s="7" t="s">
        <v>47</v>
      </c>
      <c r="R67" s="7" t="s">
        <v>26</v>
      </c>
      <c r="S67" s="7" t="s">
        <v>26</v>
      </c>
      <c r="T67" s="7" t="s">
        <v>47</v>
      </c>
      <c r="U67" s="7">
        <v>6</v>
      </c>
      <c r="V67" s="7" t="s">
        <v>34</v>
      </c>
      <c r="W67" s="8">
        <f xml:space="preserve">VLOOKUP(D67,[1]sheet!$J:$O,6,0)</f>
        <v>28</v>
      </c>
    </row>
    <row r="68" s="1" customFormat="1" ht="16.5" spans="1:23">
      <c r="A68" s="6">
        <v>199</v>
      </c>
      <c r="B68" s="6" t="s">
        <v>22</v>
      </c>
      <c r="C68" s="6" t="s">
        <v>43</v>
      </c>
      <c r="D68" s="6" t="s">
        <v>182</v>
      </c>
      <c r="E68" s="6" t="s">
        <v>183</v>
      </c>
      <c r="F68" s="6" t="s">
        <v>26</v>
      </c>
      <c r="G68" s="6" t="s">
        <v>58</v>
      </c>
      <c r="H68" s="6" t="s">
        <v>47</v>
      </c>
      <c r="I68" s="7">
        <v>12.4</v>
      </c>
      <c r="J68" s="7">
        <v>0</v>
      </c>
      <c r="K68" s="7">
        <v>0</v>
      </c>
      <c r="L68" s="7">
        <v>0</v>
      </c>
      <c r="M68" s="7">
        <v>0</v>
      </c>
      <c r="N68" s="7">
        <v>12.4</v>
      </c>
      <c r="O68" s="7" t="s">
        <v>47</v>
      </c>
      <c r="P68" s="7">
        <v>1</v>
      </c>
      <c r="Q68" s="7" t="s">
        <v>47</v>
      </c>
      <c r="R68" s="7" t="s">
        <v>26</v>
      </c>
      <c r="S68" s="7" t="s">
        <v>26</v>
      </c>
      <c r="T68" s="7" t="s">
        <v>47</v>
      </c>
      <c r="U68" s="7">
        <v>6</v>
      </c>
      <c r="V68" s="7" t="s">
        <v>34</v>
      </c>
      <c r="W68" s="8">
        <f xml:space="preserve">VLOOKUP(D68,[1]sheet!$J:$O,6,0)</f>
        <v>28</v>
      </c>
    </row>
    <row r="69" s="1" customFormat="1" ht="16.5" spans="1:23">
      <c r="A69" s="6">
        <v>188</v>
      </c>
      <c r="B69" s="6" t="s">
        <v>22</v>
      </c>
      <c r="C69" s="6" t="s">
        <v>43</v>
      </c>
      <c r="D69" s="6" t="s">
        <v>184</v>
      </c>
      <c r="E69" s="6" t="s">
        <v>185</v>
      </c>
      <c r="F69" s="6" t="s">
        <v>26</v>
      </c>
      <c r="G69" s="6" t="s">
        <v>186</v>
      </c>
      <c r="H69" s="6" t="s">
        <v>47</v>
      </c>
      <c r="I69" s="7">
        <v>9.8</v>
      </c>
      <c r="J69" s="7">
        <v>0</v>
      </c>
      <c r="K69" s="7">
        <v>0</v>
      </c>
      <c r="L69" s="7">
        <v>0</v>
      </c>
      <c r="M69" s="7">
        <v>0</v>
      </c>
      <c r="N69" s="7">
        <v>9.8</v>
      </c>
      <c r="O69" s="7" t="s">
        <v>47</v>
      </c>
      <c r="P69" s="7">
        <v>1</v>
      </c>
      <c r="Q69" s="7" t="s">
        <v>47</v>
      </c>
      <c r="R69" s="7" t="s">
        <v>26</v>
      </c>
      <c r="S69" s="7" t="s">
        <v>26</v>
      </c>
      <c r="T69" s="7" t="s">
        <v>47</v>
      </c>
      <c r="U69" s="7">
        <v>40</v>
      </c>
      <c r="V69" s="7" t="s">
        <v>34</v>
      </c>
      <c r="W69" s="8">
        <f xml:space="preserve">VLOOKUP(D69,[1]sheet!$J:$O,6,0)</f>
        <v>40</v>
      </c>
    </row>
    <row r="70" s="1" customFormat="1" ht="16.5" spans="1:23">
      <c r="A70" s="6">
        <v>185</v>
      </c>
      <c r="B70" s="6" t="s">
        <v>22</v>
      </c>
      <c r="C70" s="6" t="s">
        <v>43</v>
      </c>
      <c r="D70" s="6" t="s">
        <v>187</v>
      </c>
      <c r="E70" s="6" t="s">
        <v>188</v>
      </c>
      <c r="F70" s="6" t="s">
        <v>26</v>
      </c>
      <c r="G70" s="6" t="s">
        <v>58</v>
      </c>
      <c r="H70" s="6" t="s">
        <v>47</v>
      </c>
      <c r="I70" s="7">
        <v>10.2</v>
      </c>
      <c r="J70" s="7">
        <v>0</v>
      </c>
      <c r="K70" s="7">
        <v>0</v>
      </c>
      <c r="L70" s="7">
        <v>0</v>
      </c>
      <c r="M70" s="7">
        <v>0</v>
      </c>
      <c r="N70" s="7">
        <v>10.2</v>
      </c>
      <c r="O70" s="7" t="s">
        <v>47</v>
      </c>
      <c r="P70" s="7">
        <v>1</v>
      </c>
      <c r="Q70" s="7" t="s">
        <v>47</v>
      </c>
      <c r="R70" s="7" t="s">
        <v>26</v>
      </c>
      <c r="S70" s="7" t="s">
        <v>26</v>
      </c>
      <c r="T70" s="7" t="s">
        <v>47</v>
      </c>
      <c r="U70" s="7">
        <v>6</v>
      </c>
      <c r="V70" s="7" t="s">
        <v>34</v>
      </c>
      <c r="W70" s="8">
        <f xml:space="preserve">VLOOKUP(D70,[1]sheet!$J:$O,6,0)</f>
        <v>32</v>
      </c>
    </row>
    <row r="71" s="1" customFormat="1" ht="16.5" spans="1:23">
      <c r="A71" s="6">
        <v>75</v>
      </c>
      <c r="B71" s="6" t="s">
        <v>22</v>
      </c>
      <c r="C71" s="6" t="s">
        <v>43</v>
      </c>
      <c r="D71" s="6" t="s">
        <v>189</v>
      </c>
      <c r="E71" s="6" t="s">
        <v>190</v>
      </c>
      <c r="F71" s="6" t="s">
        <v>26</v>
      </c>
      <c r="G71" s="6" t="s">
        <v>191</v>
      </c>
      <c r="H71" s="6" t="s">
        <v>47</v>
      </c>
      <c r="I71" s="7">
        <v>2.3</v>
      </c>
      <c r="J71" s="7">
        <v>0</v>
      </c>
      <c r="K71" s="7">
        <v>0</v>
      </c>
      <c r="L71" s="7">
        <v>0</v>
      </c>
      <c r="M71" s="7">
        <v>0</v>
      </c>
      <c r="N71" s="7">
        <v>2.3</v>
      </c>
      <c r="O71" s="7" t="s">
        <v>47</v>
      </c>
      <c r="P71" s="7">
        <v>1</v>
      </c>
      <c r="Q71" s="7" t="s">
        <v>47</v>
      </c>
      <c r="R71" s="7" t="s">
        <v>26</v>
      </c>
      <c r="S71" s="7" t="s">
        <v>26</v>
      </c>
      <c r="T71" s="7"/>
      <c r="U71" s="7"/>
      <c r="V71" s="7"/>
      <c r="W71" s="8">
        <f xml:space="preserve">VLOOKUP(D71,[1]sheet!$J:$O,6,0)</f>
        <v>40</v>
      </c>
    </row>
    <row r="72" s="1" customFormat="1" ht="16.5" spans="1:23">
      <c r="A72" s="6">
        <v>71</v>
      </c>
      <c r="B72" s="6" t="s">
        <v>22</v>
      </c>
      <c r="C72" s="6" t="s">
        <v>43</v>
      </c>
      <c r="D72" s="6" t="s">
        <v>192</v>
      </c>
      <c r="E72" s="6" t="s">
        <v>193</v>
      </c>
      <c r="F72" s="6" t="s">
        <v>26</v>
      </c>
      <c r="G72" s="6" t="s">
        <v>191</v>
      </c>
      <c r="H72" s="6" t="s">
        <v>47</v>
      </c>
      <c r="I72" s="7">
        <v>2.3</v>
      </c>
      <c r="J72" s="7">
        <v>0</v>
      </c>
      <c r="K72" s="7">
        <v>0</v>
      </c>
      <c r="L72" s="7">
        <v>0</v>
      </c>
      <c r="M72" s="7">
        <v>0</v>
      </c>
      <c r="N72" s="7">
        <v>2.3</v>
      </c>
      <c r="O72" s="7" t="s">
        <v>47</v>
      </c>
      <c r="P72" s="7">
        <v>1</v>
      </c>
      <c r="Q72" s="7" t="s">
        <v>47</v>
      </c>
      <c r="R72" s="7" t="s">
        <v>26</v>
      </c>
      <c r="S72" s="7" t="s">
        <v>26</v>
      </c>
      <c r="T72" s="7"/>
      <c r="U72" s="7"/>
      <c r="V72" s="7"/>
      <c r="W72" s="8">
        <f xml:space="preserve">VLOOKUP(D72,[1]sheet!$J:$O,6,0)</f>
        <v>40</v>
      </c>
    </row>
    <row r="73" s="1" customFormat="1" ht="16.5" spans="1:23">
      <c r="A73" s="6">
        <v>161</v>
      </c>
      <c r="B73" s="6" t="s">
        <v>22</v>
      </c>
      <c r="C73" s="6" t="s">
        <v>43</v>
      </c>
      <c r="D73" s="6" t="s">
        <v>194</v>
      </c>
      <c r="E73" s="6" t="s">
        <v>195</v>
      </c>
      <c r="F73" s="6" t="s">
        <v>26</v>
      </c>
      <c r="G73" s="6" t="s">
        <v>82</v>
      </c>
      <c r="H73" s="6" t="s">
        <v>47</v>
      </c>
      <c r="I73" s="7">
        <v>11</v>
      </c>
      <c r="J73" s="7">
        <v>0</v>
      </c>
      <c r="K73" s="7">
        <v>0</v>
      </c>
      <c r="L73" s="7">
        <v>0</v>
      </c>
      <c r="M73" s="7">
        <v>0</v>
      </c>
      <c r="N73" s="7">
        <v>11</v>
      </c>
      <c r="O73" s="7" t="s">
        <v>47</v>
      </c>
      <c r="P73" s="7">
        <v>1</v>
      </c>
      <c r="Q73" s="7" t="s">
        <v>47</v>
      </c>
      <c r="R73" s="7" t="s">
        <v>26</v>
      </c>
      <c r="S73" s="7" t="s">
        <v>26</v>
      </c>
      <c r="T73" s="7" t="s">
        <v>47</v>
      </c>
      <c r="U73" s="7">
        <v>6</v>
      </c>
      <c r="V73" s="7" t="s">
        <v>34</v>
      </c>
      <c r="W73" s="8">
        <f xml:space="preserve">VLOOKUP(D73,[1]sheet!$J:$O,6,0)</f>
        <v>32</v>
      </c>
    </row>
    <row r="74" s="1" customFormat="1" ht="16.5" spans="1:23">
      <c r="A74" s="6">
        <v>152</v>
      </c>
      <c r="B74" s="6" t="s">
        <v>22</v>
      </c>
      <c r="C74" s="6" t="s">
        <v>43</v>
      </c>
      <c r="D74" s="6" t="s">
        <v>196</v>
      </c>
      <c r="E74" s="6" t="s">
        <v>197</v>
      </c>
      <c r="F74" s="6" t="s">
        <v>26</v>
      </c>
      <c r="G74" s="6" t="s">
        <v>198</v>
      </c>
      <c r="H74" s="6" t="s">
        <v>47</v>
      </c>
      <c r="I74" s="7">
        <v>12.7</v>
      </c>
      <c r="J74" s="7">
        <v>0</v>
      </c>
      <c r="K74" s="7">
        <v>0</v>
      </c>
      <c r="L74" s="7">
        <v>0</v>
      </c>
      <c r="M74" s="7">
        <v>0</v>
      </c>
      <c r="N74" s="7">
        <v>12.7</v>
      </c>
      <c r="O74" s="7" t="s">
        <v>47</v>
      </c>
      <c r="P74" s="7">
        <v>1</v>
      </c>
      <c r="Q74" s="7" t="s">
        <v>47</v>
      </c>
      <c r="R74" s="7" t="s">
        <v>26</v>
      </c>
      <c r="S74" s="7" t="s">
        <v>26</v>
      </c>
      <c r="T74" s="7" t="s">
        <v>47</v>
      </c>
      <c r="U74" s="7">
        <v>6</v>
      </c>
      <c r="V74" s="7" t="s">
        <v>34</v>
      </c>
      <c r="W74" s="8">
        <f xml:space="preserve">VLOOKUP(D74,[1]sheet!$J:$O,6,0)</f>
        <v>32</v>
      </c>
    </row>
    <row r="75" s="1" customFormat="1" ht="16.5" spans="1:23">
      <c r="A75" s="6">
        <v>208</v>
      </c>
      <c r="B75" s="6" t="s">
        <v>22</v>
      </c>
      <c r="C75" s="6" t="s">
        <v>43</v>
      </c>
      <c r="D75" s="6" t="s">
        <v>199</v>
      </c>
      <c r="E75" s="6" t="s">
        <v>200</v>
      </c>
      <c r="F75" s="6" t="s">
        <v>26</v>
      </c>
      <c r="G75" s="6" t="s">
        <v>198</v>
      </c>
      <c r="H75" s="6" t="s">
        <v>47</v>
      </c>
      <c r="I75" s="7">
        <v>12.5</v>
      </c>
      <c r="J75" s="7">
        <v>0</v>
      </c>
      <c r="K75" s="7">
        <v>0</v>
      </c>
      <c r="L75" s="7">
        <v>0</v>
      </c>
      <c r="M75" s="7">
        <v>0</v>
      </c>
      <c r="N75" s="7">
        <v>12.5</v>
      </c>
      <c r="O75" s="7" t="s">
        <v>47</v>
      </c>
      <c r="P75" s="7">
        <v>1</v>
      </c>
      <c r="Q75" s="7" t="s">
        <v>47</v>
      </c>
      <c r="R75" s="7" t="s">
        <v>26</v>
      </c>
      <c r="S75" s="7" t="s">
        <v>26</v>
      </c>
      <c r="T75" s="7" t="s">
        <v>47</v>
      </c>
      <c r="U75" s="7">
        <v>6</v>
      </c>
      <c r="V75" s="7" t="s">
        <v>34</v>
      </c>
      <c r="W75" s="8">
        <f xml:space="preserve">VLOOKUP(D75,[1]sheet!$J:$O,6,0)</f>
        <v>24</v>
      </c>
    </row>
    <row r="76" s="1" customFormat="1" ht="16.5" spans="1:23">
      <c r="A76" s="6">
        <v>178</v>
      </c>
      <c r="B76" s="6" t="s">
        <v>22</v>
      </c>
      <c r="C76" s="6" t="s">
        <v>43</v>
      </c>
      <c r="D76" s="6" t="s">
        <v>201</v>
      </c>
      <c r="E76" s="6" t="s">
        <v>202</v>
      </c>
      <c r="F76" s="6" t="s">
        <v>26</v>
      </c>
      <c r="G76" s="6" t="s">
        <v>58</v>
      </c>
      <c r="H76" s="6" t="s">
        <v>47</v>
      </c>
      <c r="I76" s="7">
        <v>10.2</v>
      </c>
      <c r="J76" s="7">
        <v>0</v>
      </c>
      <c r="K76" s="7">
        <v>0</v>
      </c>
      <c r="L76" s="7">
        <v>0</v>
      </c>
      <c r="M76" s="7">
        <v>0</v>
      </c>
      <c r="N76" s="7">
        <v>10.2</v>
      </c>
      <c r="O76" s="7" t="s">
        <v>47</v>
      </c>
      <c r="P76" s="7">
        <v>1</v>
      </c>
      <c r="Q76" s="7" t="s">
        <v>47</v>
      </c>
      <c r="R76" s="7" t="s">
        <v>26</v>
      </c>
      <c r="S76" s="7" t="s">
        <v>26</v>
      </c>
      <c r="T76" s="7" t="s">
        <v>47</v>
      </c>
      <c r="U76" s="7">
        <v>6</v>
      </c>
      <c r="V76" s="7" t="s">
        <v>34</v>
      </c>
      <c r="W76" s="8">
        <f xml:space="preserve">VLOOKUP(D76,[1]sheet!$J:$O,6,0)</f>
        <v>32</v>
      </c>
    </row>
    <row r="77" s="1" customFormat="1" ht="16.5" spans="1:23">
      <c r="A77" s="6">
        <v>131</v>
      </c>
      <c r="B77" s="6" t="s">
        <v>22</v>
      </c>
      <c r="C77" s="6" t="s">
        <v>43</v>
      </c>
      <c r="D77" s="6" t="s">
        <v>203</v>
      </c>
      <c r="E77" s="6" t="s">
        <v>204</v>
      </c>
      <c r="F77" s="6" t="s">
        <v>26</v>
      </c>
      <c r="G77" s="6" t="s">
        <v>205</v>
      </c>
      <c r="H77" s="6" t="s">
        <v>47</v>
      </c>
      <c r="I77" s="7">
        <v>16.2</v>
      </c>
      <c r="J77" s="7">
        <v>0</v>
      </c>
      <c r="K77" s="7">
        <v>0</v>
      </c>
      <c r="L77" s="7">
        <v>0</v>
      </c>
      <c r="M77" s="7">
        <v>0</v>
      </c>
      <c r="N77" s="7">
        <v>16.2</v>
      </c>
      <c r="O77" s="7" t="s">
        <v>47</v>
      </c>
      <c r="P77" s="7">
        <v>1</v>
      </c>
      <c r="Q77" s="7" t="s">
        <v>47</v>
      </c>
      <c r="R77" s="7" t="s">
        <v>26</v>
      </c>
      <c r="S77" s="7" t="s">
        <v>26</v>
      </c>
      <c r="T77" s="7" t="s">
        <v>47</v>
      </c>
      <c r="U77" s="7">
        <v>2</v>
      </c>
      <c r="V77" s="7" t="s">
        <v>34</v>
      </c>
      <c r="W77" s="8">
        <f xml:space="preserve">VLOOKUP(D77,[1]sheet!$J:$O,6,0)</f>
        <v>14</v>
      </c>
    </row>
    <row r="78" s="1" customFormat="1" ht="16.5" spans="1:23">
      <c r="A78" s="6">
        <v>203</v>
      </c>
      <c r="B78" s="6" t="s">
        <v>22</v>
      </c>
      <c r="C78" s="6" t="s">
        <v>43</v>
      </c>
      <c r="D78" s="6" t="s">
        <v>206</v>
      </c>
      <c r="E78" s="6" t="s">
        <v>207</v>
      </c>
      <c r="F78" s="6" t="s">
        <v>26</v>
      </c>
      <c r="G78" s="6" t="s">
        <v>151</v>
      </c>
      <c r="H78" s="6" t="s">
        <v>47</v>
      </c>
      <c r="I78" s="7">
        <v>11.9</v>
      </c>
      <c r="J78" s="7">
        <v>0</v>
      </c>
      <c r="K78" s="7">
        <v>0</v>
      </c>
      <c r="L78" s="7">
        <v>0</v>
      </c>
      <c r="M78" s="7">
        <v>0</v>
      </c>
      <c r="N78" s="7">
        <v>11.9</v>
      </c>
      <c r="O78" s="7" t="s">
        <v>47</v>
      </c>
      <c r="P78" s="7">
        <v>1</v>
      </c>
      <c r="Q78" s="7" t="s">
        <v>47</v>
      </c>
      <c r="R78" s="7" t="s">
        <v>26</v>
      </c>
      <c r="S78" s="7" t="s">
        <v>26</v>
      </c>
      <c r="T78" s="7"/>
      <c r="U78" s="7"/>
      <c r="V78" s="7"/>
      <c r="W78" s="8">
        <f xml:space="preserve">VLOOKUP(D78,[1]sheet!$J:$O,6,0)</f>
        <v>24</v>
      </c>
    </row>
    <row r="79" s="1" customFormat="1" ht="16.5" spans="1:23">
      <c r="A79" s="6">
        <v>201</v>
      </c>
      <c r="B79" s="6" t="s">
        <v>22</v>
      </c>
      <c r="C79" s="6" t="s">
        <v>43</v>
      </c>
      <c r="D79" s="6" t="s">
        <v>208</v>
      </c>
      <c r="E79" s="6" t="s">
        <v>209</v>
      </c>
      <c r="F79" s="6" t="s">
        <v>26</v>
      </c>
      <c r="G79" s="6" t="s">
        <v>205</v>
      </c>
      <c r="H79" s="6" t="s">
        <v>47</v>
      </c>
      <c r="I79" s="7">
        <v>16.2</v>
      </c>
      <c r="J79" s="7">
        <v>0</v>
      </c>
      <c r="K79" s="7">
        <v>0</v>
      </c>
      <c r="L79" s="7">
        <v>0</v>
      </c>
      <c r="M79" s="7">
        <v>0</v>
      </c>
      <c r="N79" s="7">
        <v>16.2</v>
      </c>
      <c r="O79" s="7" t="s">
        <v>47</v>
      </c>
      <c r="P79" s="7">
        <v>1</v>
      </c>
      <c r="Q79" s="7" t="s">
        <v>47</v>
      </c>
      <c r="R79" s="7" t="s">
        <v>39</v>
      </c>
      <c r="S79" s="7" t="s">
        <v>39</v>
      </c>
      <c r="T79" s="7"/>
      <c r="U79" s="7"/>
      <c r="V79" s="7"/>
      <c r="W79" s="8" t="s">
        <v>51</v>
      </c>
    </row>
    <row r="80" s="1" customFormat="1" ht="16.5" spans="1:23">
      <c r="A80" s="6">
        <v>156</v>
      </c>
      <c r="B80" s="6" t="s">
        <v>22</v>
      </c>
      <c r="C80" s="6" t="s">
        <v>43</v>
      </c>
      <c r="D80" s="6" t="s">
        <v>210</v>
      </c>
      <c r="E80" s="6" t="s">
        <v>211</v>
      </c>
      <c r="F80" s="6" t="s">
        <v>26</v>
      </c>
      <c r="G80" s="6" t="s">
        <v>186</v>
      </c>
      <c r="H80" s="6" t="s">
        <v>47</v>
      </c>
      <c r="I80" s="7">
        <v>9.8</v>
      </c>
      <c r="J80" s="7">
        <v>0</v>
      </c>
      <c r="K80" s="7">
        <v>0</v>
      </c>
      <c r="L80" s="7">
        <v>0</v>
      </c>
      <c r="M80" s="7">
        <v>0</v>
      </c>
      <c r="N80" s="7">
        <v>9.8</v>
      </c>
      <c r="O80" s="7" t="s">
        <v>47</v>
      </c>
      <c r="P80" s="7">
        <v>1</v>
      </c>
      <c r="Q80" s="7" t="s">
        <v>47</v>
      </c>
      <c r="R80" s="7" t="s">
        <v>26</v>
      </c>
      <c r="S80" s="7" t="s">
        <v>26</v>
      </c>
      <c r="T80" s="7" t="s">
        <v>47</v>
      </c>
      <c r="U80" s="7">
        <v>40</v>
      </c>
      <c r="V80" s="7" t="s">
        <v>34</v>
      </c>
      <c r="W80" s="8" t="s">
        <v>29</v>
      </c>
    </row>
    <row r="81" s="1" customFormat="1" ht="16.5" spans="1:23">
      <c r="A81" s="6">
        <v>153</v>
      </c>
      <c r="B81" s="6" t="s">
        <v>22</v>
      </c>
      <c r="C81" s="6" t="s">
        <v>43</v>
      </c>
      <c r="D81" s="6" t="s">
        <v>212</v>
      </c>
      <c r="E81" s="6" t="s">
        <v>213</v>
      </c>
      <c r="F81" s="6" t="s">
        <v>26</v>
      </c>
      <c r="G81" s="6" t="s">
        <v>58</v>
      </c>
      <c r="H81" s="6" t="s">
        <v>47</v>
      </c>
      <c r="I81" s="7">
        <v>16</v>
      </c>
      <c r="J81" s="7">
        <v>0</v>
      </c>
      <c r="K81" s="7">
        <v>0</v>
      </c>
      <c r="L81" s="7">
        <v>0</v>
      </c>
      <c r="M81" s="7">
        <v>0</v>
      </c>
      <c r="N81" s="7">
        <v>16</v>
      </c>
      <c r="O81" s="7" t="s">
        <v>47</v>
      </c>
      <c r="P81" s="7">
        <v>1</v>
      </c>
      <c r="Q81" s="7" t="s">
        <v>47</v>
      </c>
      <c r="R81" s="7" t="s">
        <v>26</v>
      </c>
      <c r="S81" s="7" t="s">
        <v>26</v>
      </c>
      <c r="T81" s="7" t="s">
        <v>47</v>
      </c>
      <c r="U81" s="7">
        <v>6</v>
      </c>
      <c r="V81" s="7" t="s">
        <v>34</v>
      </c>
      <c r="W81" s="8">
        <f xml:space="preserve">VLOOKUP(D81,[1]sheet!$J:$O,6,0)</f>
        <v>24</v>
      </c>
    </row>
    <row r="82" s="1" customFormat="1" ht="16.5" spans="1:23">
      <c r="A82" s="6">
        <v>202</v>
      </c>
      <c r="B82" s="6" t="s">
        <v>22</v>
      </c>
      <c r="C82" s="6" t="s">
        <v>43</v>
      </c>
      <c r="D82" s="6" t="s">
        <v>214</v>
      </c>
      <c r="E82" s="6" t="s">
        <v>215</v>
      </c>
      <c r="F82" s="6" t="s">
        <v>26</v>
      </c>
      <c r="G82" s="6" t="s">
        <v>58</v>
      </c>
      <c r="H82" s="6" t="s">
        <v>47</v>
      </c>
      <c r="I82" s="7">
        <v>10.7</v>
      </c>
      <c r="J82" s="7">
        <v>0</v>
      </c>
      <c r="K82" s="7">
        <v>0</v>
      </c>
      <c r="L82" s="7">
        <v>0</v>
      </c>
      <c r="M82" s="7">
        <v>0</v>
      </c>
      <c r="N82" s="7">
        <v>10.7</v>
      </c>
      <c r="O82" s="7" t="s">
        <v>47</v>
      </c>
      <c r="P82" s="7">
        <v>1</v>
      </c>
      <c r="Q82" s="7" t="s">
        <v>47</v>
      </c>
      <c r="R82" s="7" t="s">
        <v>26</v>
      </c>
      <c r="S82" s="7" t="s">
        <v>26</v>
      </c>
      <c r="T82" s="7" t="s">
        <v>47</v>
      </c>
      <c r="U82" s="7">
        <v>6</v>
      </c>
      <c r="V82" s="7" t="s">
        <v>34</v>
      </c>
      <c r="W82" s="8">
        <f xml:space="preserve">VLOOKUP(D82,[1]sheet!$J:$O,6,0)</f>
        <v>32</v>
      </c>
    </row>
    <row r="83" s="1" customFormat="1" ht="16.5" hidden="1" spans="1:23">
      <c r="A83" s="6">
        <v>36</v>
      </c>
      <c r="B83" s="6" t="s">
        <v>22</v>
      </c>
      <c r="C83" s="6" t="s">
        <v>65</v>
      </c>
      <c r="D83" s="6" t="s">
        <v>216</v>
      </c>
      <c r="E83" s="6" t="s">
        <v>217</v>
      </c>
      <c r="F83" s="6" t="s">
        <v>26</v>
      </c>
      <c r="G83" s="6" t="s">
        <v>58</v>
      </c>
      <c r="H83" s="6" t="s">
        <v>47</v>
      </c>
      <c r="I83" s="7">
        <v>10.8</v>
      </c>
      <c r="J83" s="7">
        <v>0.032383314</v>
      </c>
      <c r="K83" s="7">
        <v>0.366</v>
      </c>
      <c r="L83" s="7">
        <v>0.261</v>
      </c>
      <c r="M83" s="7">
        <v>0.339</v>
      </c>
      <c r="N83" s="7">
        <v>10.8</v>
      </c>
      <c r="O83" s="7" t="s">
        <v>47</v>
      </c>
      <c r="P83" s="7">
        <v>1</v>
      </c>
      <c r="Q83" s="7" t="s">
        <v>47</v>
      </c>
      <c r="R83" s="7" t="s">
        <v>26</v>
      </c>
      <c r="S83" s="7" t="s">
        <v>26</v>
      </c>
      <c r="T83" s="7" t="s">
        <v>47</v>
      </c>
      <c r="U83" s="7">
        <v>6</v>
      </c>
      <c r="V83" s="7" t="s">
        <v>34</v>
      </c>
      <c r="W83" s="7"/>
    </row>
    <row r="84" s="1" customFormat="1" ht="16.5" spans="1:23">
      <c r="A84" s="6">
        <v>186</v>
      </c>
      <c r="B84" s="6" t="s">
        <v>22</v>
      </c>
      <c r="C84" s="6" t="s">
        <v>43</v>
      </c>
      <c r="D84" s="6" t="s">
        <v>216</v>
      </c>
      <c r="E84" s="6" t="s">
        <v>217</v>
      </c>
      <c r="F84" s="6" t="s">
        <v>26</v>
      </c>
      <c r="G84" s="6" t="s">
        <v>58</v>
      </c>
      <c r="H84" s="6" t="s">
        <v>47</v>
      </c>
      <c r="I84" s="7">
        <v>10.8</v>
      </c>
      <c r="J84" s="7">
        <v>0</v>
      </c>
      <c r="K84" s="7">
        <v>0</v>
      </c>
      <c r="L84" s="7">
        <v>0</v>
      </c>
      <c r="M84" s="7">
        <v>0</v>
      </c>
      <c r="N84" s="7">
        <v>10.8</v>
      </c>
      <c r="O84" s="7" t="s">
        <v>47</v>
      </c>
      <c r="P84" s="7">
        <v>1</v>
      </c>
      <c r="Q84" s="7" t="s">
        <v>47</v>
      </c>
      <c r="R84" s="7" t="s">
        <v>26</v>
      </c>
      <c r="S84" s="7" t="s">
        <v>26</v>
      </c>
      <c r="T84" s="7" t="s">
        <v>47</v>
      </c>
      <c r="U84" s="7">
        <v>6</v>
      </c>
      <c r="V84" s="7" t="s">
        <v>34</v>
      </c>
      <c r="W84" s="8">
        <f xml:space="preserve">VLOOKUP(D84,[1]sheet!$J:$O,6,0)</f>
        <v>32</v>
      </c>
    </row>
    <row r="85" s="1" customFormat="1" ht="16.5" hidden="1" spans="1:23">
      <c r="A85" s="6">
        <v>32</v>
      </c>
      <c r="B85" s="6" t="s">
        <v>22</v>
      </c>
      <c r="C85" s="6" t="s">
        <v>65</v>
      </c>
      <c r="D85" s="6" t="s">
        <v>218</v>
      </c>
      <c r="E85" s="6" t="s">
        <v>219</v>
      </c>
      <c r="F85" s="6" t="s">
        <v>26</v>
      </c>
      <c r="G85" s="6" t="s">
        <v>58</v>
      </c>
      <c r="H85" s="6" t="s">
        <v>47</v>
      </c>
      <c r="I85" s="7">
        <v>10.7</v>
      </c>
      <c r="J85" s="7">
        <v>0.03322731</v>
      </c>
      <c r="K85" s="7">
        <v>0.366</v>
      </c>
      <c r="L85" s="7">
        <v>0.271</v>
      </c>
      <c r="M85" s="7">
        <v>0.335</v>
      </c>
      <c r="N85" s="7">
        <v>10.7</v>
      </c>
      <c r="O85" s="7" t="s">
        <v>47</v>
      </c>
      <c r="P85" s="7">
        <v>1</v>
      </c>
      <c r="Q85" s="7" t="s">
        <v>47</v>
      </c>
      <c r="R85" s="7" t="s">
        <v>26</v>
      </c>
      <c r="S85" s="7" t="s">
        <v>26</v>
      </c>
      <c r="T85" s="7" t="s">
        <v>47</v>
      </c>
      <c r="U85" s="7">
        <v>6</v>
      </c>
      <c r="V85" s="7" t="s">
        <v>34</v>
      </c>
      <c r="W85" s="7" t="s">
        <v>220</v>
      </c>
    </row>
    <row r="86" s="1" customFormat="1" ht="16.5" spans="1:23">
      <c r="A86" s="6">
        <v>160</v>
      </c>
      <c r="B86" s="6" t="s">
        <v>22</v>
      </c>
      <c r="C86" s="6" t="s">
        <v>43</v>
      </c>
      <c r="D86" s="6" t="s">
        <v>218</v>
      </c>
      <c r="E86" s="6" t="s">
        <v>219</v>
      </c>
      <c r="F86" s="6" t="s">
        <v>26</v>
      </c>
      <c r="G86" s="6" t="s">
        <v>58</v>
      </c>
      <c r="H86" s="6" t="s">
        <v>47</v>
      </c>
      <c r="I86" s="7">
        <v>10.7</v>
      </c>
      <c r="J86" s="7">
        <v>0</v>
      </c>
      <c r="K86" s="7">
        <v>0</v>
      </c>
      <c r="L86" s="7">
        <v>0</v>
      </c>
      <c r="M86" s="7">
        <v>0</v>
      </c>
      <c r="N86" s="7">
        <v>10.7</v>
      </c>
      <c r="O86" s="7" t="s">
        <v>47</v>
      </c>
      <c r="P86" s="7">
        <v>1</v>
      </c>
      <c r="Q86" s="7" t="s">
        <v>47</v>
      </c>
      <c r="R86" s="7" t="s">
        <v>26</v>
      </c>
      <c r="S86" s="7" t="s">
        <v>26</v>
      </c>
      <c r="T86" s="7" t="s">
        <v>47</v>
      </c>
      <c r="U86" s="7">
        <v>6</v>
      </c>
      <c r="V86" s="7" t="s">
        <v>34</v>
      </c>
      <c r="W86" s="8">
        <f xml:space="preserve">VLOOKUP(D86,[1]sheet!$J:$O,6,0)</f>
        <v>32</v>
      </c>
    </row>
    <row r="87" s="1" customFormat="1" ht="18" customHeight="1" spans="1:23">
      <c r="A87" s="6">
        <v>167</v>
      </c>
      <c r="B87" s="6" t="s">
        <v>22</v>
      </c>
      <c r="C87" s="6" t="s">
        <v>43</v>
      </c>
      <c r="D87" s="6" t="s">
        <v>221</v>
      </c>
      <c r="E87" s="6" t="s">
        <v>222</v>
      </c>
      <c r="F87" s="6" t="s">
        <v>26</v>
      </c>
      <c r="G87" s="6" t="s">
        <v>90</v>
      </c>
      <c r="H87" s="6" t="s">
        <v>47</v>
      </c>
      <c r="I87" s="7">
        <v>12.3</v>
      </c>
      <c r="J87" s="7">
        <v>0</v>
      </c>
      <c r="K87" s="7">
        <v>0</v>
      </c>
      <c r="L87" s="7">
        <v>0</v>
      </c>
      <c r="M87" s="7">
        <v>0</v>
      </c>
      <c r="N87" s="7">
        <v>12.3</v>
      </c>
      <c r="O87" s="7" t="s">
        <v>47</v>
      </c>
      <c r="P87" s="7">
        <v>1</v>
      </c>
      <c r="Q87" s="7" t="s">
        <v>47</v>
      </c>
      <c r="R87" s="7" t="s">
        <v>26</v>
      </c>
      <c r="S87" s="7" t="s">
        <v>26</v>
      </c>
      <c r="T87" s="7" t="s">
        <v>47</v>
      </c>
      <c r="U87" s="7">
        <v>6</v>
      </c>
      <c r="V87" s="7" t="s">
        <v>34</v>
      </c>
      <c r="W87" s="8">
        <f xml:space="preserve">VLOOKUP(D87,[1]sheet!$J:$O,6,0)</f>
        <v>28</v>
      </c>
    </row>
    <row r="88" s="1" customFormat="1" ht="16.5" hidden="1" spans="1:23">
      <c r="A88" s="6">
        <v>33</v>
      </c>
      <c r="B88" s="6" t="s">
        <v>22</v>
      </c>
      <c r="C88" s="6" t="s">
        <v>65</v>
      </c>
      <c r="D88" s="6" t="s">
        <v>223</v>
      </c>
      <c r="E88" s="6" t="s">
        <v>224</v>
      </c>
      <c r="F88" s="6" t="s">
        <v>26</v>
      </c>
      <c r="G88" s="6" t="s">
        <v>225</v>
      </c>
      <c r="H88" s="6" t="s">
        <v>38</v>
      </c>
      <c r="I88" s="7">
        <v>6.5</v>
      </c>
      <c r="J88" s="7">
        <v>0.041325</v>
      </c>
      <c r="K88" s="7">
        <v>0.57</v>
      </c>
      <c r="L88" s="7">
        <v>0.29</v>
      </c>
      <c r="M88" s="7">
        <v>0.25</v>
      </c>
      <c r="N88" s="7">
        <v>6.5</v>
      </c>
      <c r="O88" s="7" t="s">
        <v>38</v>
      </c>
      <c r="P88" s="7">
        <v>1</v>
      </c>
      <c r="Q88" s="7" t="s">
        <v>38</v>
      </c>
      <c r="R88" s="7" t="s">
        <v>26</v>
      </c>
      <c r="S88" s="7" t="s">
        <v>26</v>
      </c>
      <c r="T88" s="7" t="s">
        <v>38</v>
      </c>
      <c r="U88" s="7">
        <v>2</v>
      </c>
      <c r="V88" s="7" t="s">
        <v>34</v>
      </c>
      <c r="W88" s="7" t="s">
        <v>226</v>
      </c>
    </row>
    <row r="89" s="1" customFormat="1" ht="16.5" spans="1:23">
      <c r="A89" s="6">
        <v>243</v>
      </c>
      <c r="B89" s="6" t="s">
        <v>22</v>
      </c>
      <c r="C89" s="6" t="s">
        <v>23</v>
      </c>
      <c r="D89" s="6" t="s">
        <v>223</v>
      </c>
      <c r="E89" s="6" t="s">
        <v>224</v>
      </c>
      <c r="F89" s="6" t="s">
        <v>26</v>
      </c>
      <c r="G89" s="6" t="s">
        <v>225</v>
      </c>
      <c r="H89" s="6" t="s">
        <v>38</v>
      </c>
      <c r="I89" s="7">
        <v>6.5</v>
      </c>
      <c r="J89" s="7">
        <v>0</v>
      </c>
      <c r="K89" s="7">
        <v>0</v>
      </c>
      <c r="L89" s="7">
        <v>0</v>
      </c>
      <c r="M89" s="7">
        <v>0</v>
      </c>
      <c r="N89" s="7">
        <v>6.5</v>
      </c>
      <c r="O89" s="7" t="s">
        <v>38</v>
      </c>
      <c r="P89" s="7">
        <v>1</v>
      </c>
      <c r="Q89" s="7" t="s">
        <v>38</v>
      </c>
      <c r="R89" s="7" t="s">
        <v>26</v>
      </c>
      <c r="S89" s="7" t="s">
        <v>26</v>
      </c>
      <c r="T89" s="7" t="s">
        <v>38</v>
      </c>
      <c r="U89" s="7">
        <v>10</v>
      </c>
      <c r="V89" s="7" t="s">
        <v>34</v>
      </c>
      <c r="W89" s="8">
        <f xml:space="preserve">VLOOKUP(D89,[1]sheet!$J:$O,6,0)</f>
        <v>30</v>
      </c>
    </row>
    <row r="90" s="1" customFormat="1" ht="16.5" spans="1:23">
      <c r="A90" s="6">
        <v>176</v>
      </c>
      <c r="B90" s="6" t="s">
        <v>22</v>
      </c>
      <c r="C90" s="6" t="s">
        <v>43</v>
      </c>
      <c r="D90" s="6" t="s">
        <v>223</v>
      </c>
      <c r="E90" s="6" t="s">
        <v>224</v>
      </c>
      <c r="F90" s="6" t="s">
        <v>26</v>
      </c>
      <c r="G90" s="6" t="s">
        <v>225</v>
      </c>
      <c r="H90" s="6" t="s">
        <v>38</v>
      </c>
      <c r="I90" s="7">
        <v>6.5</v>
      </c>
      <c r="J90" s="7">
        <v>0</v>
      </c>
      <c r="K90" s="7">
        <v>0</v>
      </c>
      <c r="L90" s="7">
        <v>0</v>
      </c>
      <c r="M90" s="7">
        <v>0</v>
      </c>
      <c r="N90" s="7">
        <v>6.5</v>
      </c>
      <c r="O90" s="7" t="s">
        <v>38</v>
      </c>
      <c r="P90" s="7">
        <v>1</v>
      </c>
      <c r="Q90" s="7" t="s">
        <v>38</v>
      </c>
      <c r="R90" s="7" t="s">
        <v>26</v>
      </c>
      <c r="S90" s="7" t="s">
        <v>26</v>
      </c>
      <c r="T90" s="7" t="s">
        <v>38</v>
      </c>
      <c r="U90" s="7">
        <v>2</v>
      </c>
      <c r="V90" s="7" t="s">
        <v>34</v>
      </c>
      <c r="W90" s="8">
        <f xml:space="preserve">VLOOKUP(D90,[1]sheet!$J:$O,6,0)</f>
        <v>30</v>
      </c>
    </row>
    <row r="91" s="1" customFormat="1" ht="16.5" spans="1:23">
      <c r="A91" s="6">
        <v>253</v>
      </c>
      <c r="B91" s="6" t="s">
        <v>22</v>
      </c>
      <c r="C91" s="6" t="s">
        <v>23</v>
      </c>
      <c r="D91" s="6" t="s">
        <v>227</v>
      </c>
      <c r="E91" s="6" t="s">
        <v>228</v>
      </c>
      <c r="F91" s="6" t="s">
        <v>26</v>
      </c>
      <c r="G91" s="6" t="s">
        <v>58</v>
      </c>
      <c r="H91" s="6" t="s">
        <v>47</v>
      </c>
      <c r="I91" s="7">
        <v>14.4</v>
      </c>
      <c r="J91" s="7">
        <v>0</v>
      </c>
      <c r="K91" s="7">
        <v>0</v>
      </c>
      <c r="L91" s="7">
        <v>0</v>
      </c>
      <c r="M91" s="7">
        <v>0</v>
      </c>
      <c r="N91" s="7">
        <v>14.4</v>
      </c>
      <c r="O91" s="7" t="s">
        <v>47</v>
      </c>
      <c r="P91" s="7">
        <v>1</v>
      </c>
      <c r="Q91" s="7" t="s">
        <v>47</v>
      </c>
      <c r="R91" s="7" t="s">
        <v>26</v>
      </c>
      <c r="S91" s="7" t="s">
        <v>26</v>
      </c>
      <c r="T91" s="7" t="s">
        <v>47</v>
      </c>
      <c r="U91" s="7">
        <v>6</v>
      </c>
      <c r="V91" s="7" t="s">
        <v>34</v>
      </c>
      <c r="W91" s="8">
        <f xml:space="preserve">VLOOKUP(D91,[1]sheet!$J:$O,6,0)</f>
        <v>32</v>
      </c>
    </row>
    <row r="92" s="1" customFormat="1" ht="16.5" spans="1:23">
      <c r="A92" s="6">
        <v>181</v>
      </c>
      <c r="B92" s="6" t="s">
        <v>22</v>
      </c>
      <c r="C92" s="6" t="s">
        <v>43</v>
      </c>
      <c r="D92" s="6" t="s">
        <v>229</v>
      </c>
      <c r="E92" s="6" t="s">
        <v>230</v>
      </c>
      <c r="F92" s="6" t="s">
        <v>26</v>
      </c>
      <c r="G92" s="6" t="s">
        <v>58</v>
      </c>
      <c r="H92" s="6" t="s">
        <v>47</v>
      </c>
      <c r="I92" s="7">
        <v>15.9</v>
      </c>
      <c r="J92" s="7">
        <v>0</v>
      </c>
      <c r="K92" s="7">
        <v>0</v>
      </c>
      <c r="L92" s="7">
        <v>0</v>
      </c>
      <c r="M92" s="7">
        <v>0</v>
      </c>
      <c r="N92" s="7">
        <v>15.9</v>
      </c>
      <c r="O92" s="7" t="s">
        <v>47</v>
      </c>
      <c r="P92" s="7">
        <v>1</v>
      </c>
      <c r="Q92" s="7" t="s">
        <v>47</v>
      </c>
      <c r="R92" s="7" t="s">
        <v>26</v>
      </c>
      <c r="S92" s="7" t="s">
        <v>26</v>
      </c>
      <c r="T92" s="7" t="s">
        <v>47</v>
      </c>
      <c r="U92" s="7">
        <v>6</v>
      </c>
      <c r="V92" s="7" t="s">
        <v>34</v>
      </c>
      <c r="W92" s="8">
        <f xml:space="preserve">VLOOKUP(D92,[1]sheet!$J:$O,6,0)</f>
        <v>48</v>
      </c>
    </row>
    <row r="93" s="1" customFormat="1" ht="16.5" hidden="1" spans="1:23">
      <c r="A93" s="6">
        <v>30</v>
      </c>
      <c r="B93" s="6" t="s">
        <v>22</v>
      </c>
      <c r="C93" s="6" t="s">
        <v>65</v>
      </c>
      <c r="D93" s="6" t="s">
        <v>231</v>
      </c>
      <c r="E93" s="6" t="s">
        <v>232</v>
      </c>
      <c r="F93" s="6" t="s">
        <v>26</v>
      </c>
      <c r="G93" s="6" t="s">
        <v>233</v>
      </c>
      <c r="H93" s="6" t="s">
        <v>47</v>
      </c>
      <c r="I93" s="7">
        <v>11.4</v>
      </c>
      <c r="J93" s="7">
        <v>0.05335941</v>
      </c>
      <c r="K93" s="7">
        <v>0.39</v>
      </c>
      <c r="L93" s="7">
        <v>0.379</v>
      </c>
      <c r="M93" s="7">
        <v>0.361</v>
      </c>
      <c r="N93" s="7">
        <v>11.4</v>
      </c>
      <c r="O93" s="7" t="s">
        <v>47</v>
      </c>
      <c r="P93" s="7">
        <v>1</v>
      </c>
      <c r="Q93" s="7" t="s">
        <v>47</v>
      </c>
      <c r="R93" s="7" t="s">
        <v>26</v>
      </c>
      <c r="S93" s="7" t="s">
        <v>26</v>
      </c>
      <c r="T93" s="7" t="s">
        <v>47</v>
      </c>
      <c r="U93" s="7">
        <v>2</v>
      </c>
      <c r="V93" s="7" t="s">
        <v>34</v>
      </c>
      <c r="W93" s="7"/>
    </row>
    <row r="94" s="1" customFormat="1" ht="16.5" spans="1:23">
      <c r="A94" s="6">
        <v>143</v>
      </c>
      <c r="B94" s="6" t="s">
        <v>22</v>
      </c>
      <c r="C94" s="6" t="s">
        <v>43</v>
      </c>
      <c r="D94" s="6" t="s">
        <v>231</v>
      </c>
      <c r="E94" s="6" t="s">
        <v>232</v>
      </c>
      <c r="F94" s="6" t="s">
        <v>26</v>
      </c>
      <c r="G94" s="6" t="s">
        <v>233</v>
      </c>
      <c r="H94" s="6" t="s">
        <v>47</v>
      </c>
      <c r="I94" s="7">
        <v>11.4</v>
      </c>
      <c r="J94" s="7">
        <v>0</v>
      </c>
      <c r="K94" s="7">
        <v>0</v>
      </c>
      <c r="L94" s="7">
        <v>0</v>
      </c>
      <c r="M94" s="7">
        <v>0</v>
      </c>
      <c r="N94" s="7">
        <v>11.4</v>
      </c>
      <c r="O94" s="7" t="s">
        <v>47</v>
      </c>
      <c r="P94" s="7">
        <v>1</v>
      </c>
      <c r="Q94" s="7" t="s">
        <v>47</v>
      </c>
      <c r="R94" s="7" t="s">
        <v>26</v>
      </c>
      <c r="S94" s="7" t="s">
        <v>26</v>
      </c>
      <c r="T94" s="7" t="s">
        <v>47</v>
      </c>
      <c r="U94" s="7">
        <v>2</v>
      </c>
      <c r="V94" s="7" t="s">
        <v>34</v>
      </c>
      <c r="W94" s="8">
        <f xml:space="preserve">VLOOKUP(D94,[1]sheet!$J:$O,6,0)</f>
        <v>24</v>
      </c>
    </row>
    <row r="95" s="1" customFormat="1" ht="16.5" spans="1:23">
      <c r="A95" s="6">
        <v>261</v>
      </c>
      <c r="B95" s="6" t="s">
        <v>22</v>
      </c>
      <c r="C95" s="6" t="s">
        <v>23</v>
      </c>
      <c r="D95" s="6" t="s">
        <v>234</v>
      </c>
      <c r="E95" s="6" t="s">
        <v>235</v>
      </c>
      <c r="F95" s="6" t="s">
        <v>26</v>
      </c>
      <c r="G95" s="6" t="s">
        <v>198</v>
      </c>
      <c r="H95" s="6" t="s">
        <v>47</v>
      </c>
      <c r="I95" s="7">
        <v>7.8</v>
      </c>
      <c r="J95" s="7">
        <v>0</v>
      </c>
      <c r="K95" s="7">
        <v>0</v>
      </c>
      <c r="L95" s="7">
        <v>0</v>
      </c>
      <c r="M95" s="7">
        <v>0</v>
      </c>
      <c r="N95" s="7">
        <v>7.8</v>
      </c>
      <c r="O95" s="7" t="s">
        <v>47</v>
      </c>
      <c r="P95" s="7">
        <v>1</v>
      </c>
      <c r="Q95" s="7" t="s">
        <v>47</v>
      </c>
      <c r="R95" s="7" t="s">
        <v>26</v>
      </c>
      <c r="S95" s="7" t="s">
        <v>26</v>
      </c>
      <c r="T95" s="7" t="s">
        <v>47</v>
      </c>
      <c r="U95" s="7">
        <v>6</v>
      </c>
      <c r="V95" s="7" t="s">
        <v>34</v>
      </c>
      <c r="W95" s="8">
        <f xml:space="preserve">VLOOKUP(D95,[1]sheet!$J:$O,6,0)</f>
        <v>32</v>
      </c>
    </row>
    <row r="96" s="1" customFormat="1" ht="16.5" spans="1:23">
      <c r="A96" s="6">
        <v>264</v>
      </c>
      <c r="B96" s="6" t="s">
        <v>22</v>
      </c>
      <c r="C96" s="6" t="s">
        <v>23</v>
      </c>
      <c r="D96" s="6" t="s">
        <v>236</v>
      </c>
      <c r="E96" s="6" t="s">
        <v>237</v>
      </c>
      <c r="F96" s="6" t="s">
        <v>26</v>
      </c>
      <c r="G96" s="6" t="s">
        <v>198</v>
      </c>
      <c r="H96" s="6" t="s">
        <v>47</v>
      </c>
      <c r="I96" s="7">
        <v>10.2</v>
      </c>
      <c r="J96" s="7">
        <v>0</v>
      </c>
      <c r="K96" s="7">
        <v>0</v>
      </c>
      <c r="L96" s="7">
        <v>0</v>
      </c>
      <c r="M96" s="7">
        <v>0</v>
      </c>
      <c r="N96" s="7">
        <v>10.2</v>
      </c>
      <c r="O96" s="7" t="s">
        <v>47</v>
      </c>
      <c r="P96" s="7">
        <v>1</v>
      </c>
      <c r="Q96" s="7" t="s">
        <v>47</v>
      </c>
      <c r="R96" s="7" t="s">
        <v>26</v>
      </c>
      <c r="S96" s="7" t="s">
        <v>26</v>
      </c>
      <c r="T96" s="7" t="s">
        <v>47</v>
      </c>
      <c r="U96" s="7">
        <v>6</v>
      </c>
      <c r="V96" s="7" t="s">
        <v>34</v>
      </c>
      <c r="W96" s="8">
        <f xml:space="preserve">VLOOKUP(D96,[1]sheet!$J:$O,6,0)</f>
        <v>32</v>
      </c>
    </row>
    <row r="97" s="1" customFormat="1" ht="16.5" hidden="1" spans="1:23">
      <c r="A97" s="6">
        <v>40</v>
      </c>
      <c r="B97" s="6" t="s">
        <v>22</v>
      </c>
      <c r="C97" s="6" t="s">
        <v>23</v>
      </c>
      <c r="D97" s="6" t="s">
        <v>238</v>
      </c>
      <c r="E97" s="6" t="s">
        <v>239</v>
      </c>
      <c r="F97" s="6" t="s">
        <v>26</v>
      </c>
      <c r="G97" s="6" t="s">
        <v>240</v>
      </c>
      <c r="H97" s="6" t="s">
        <v>47</v>
      </c>
      <c r="I97" s="7">
        <v>11.4</v>
      </c>
      <c r="J97" s="7">
        <v>0.037019328</v>
      </c>
      <c r="K97" s="7">
        <v>0.368</v>
      </c>
      <c r="L97" s="7">
        <v>0.303</v>
      </c>
      <c r="M97" s="7">
        <v>0.332</v>
      </c>
      <c r="N97" s="7">
        <v>11.4</v>
      </c>
      <c r="O97" s="7" t="s">
        <v>47</v>
      </c>
      <c r="P97" s="7">
        <v>1</v>
      </c>
      <c r="Q97" s="7" t="s">
        <v>47</v>
      </c>
      <c r="R97" s="7" t="s">
        <v>26</v>
      </c>
      <c r="S97" s="7" t="s">
        <v>26</v>
      </c>
      <c r="T97" s="7" t="s">
        <v>47</v>
      </c>
      <c r="U97" s="7">
        <v>6</v>
      </c>
      <c r="V97" s="7" t="s">
        <v>34</v>
      </c>
      <c r="W97" s="7" t="s">
        <v>226</v>
      </c>
    </row>
    <row r="98" s="1" customFormat="1" ht="16.5" spans="1:23">
      <c r="A98" s="6">
        <v>272</v>
      </c>
      <c r="B98" s="6" t="s">
        <v>22</v>
      </c>
      <c r="C98" s="6" t="s">
        <v>23</v>
      </c>
      <c r="D98" s="6" t="s">
        <v>241</v>
      </c>
      <c r="E98" s="6" t="s">
        <v>242</v>
      </c>
      <c r="F98" s="6" t="s">
        <v>26</v>
      </c>
      <c r="G98" s="6" t="s">
        <v>243</v>
      </c>
      <c r="H98" s="6" t="s">
        <v>47</v>
      </c>
      <c r="I98" s="7">
        <v>14.2</v>
      </c>
      <c r="J98" s="7">
        <v>0</v>
      </c>
      <c r="K98" s="7">
        <v>0</v>
      </c>
      <c r="L98" s="7">
        <v>0</v>
      </c>
      <c r="M98" s="7">
        <v>0</v>
      </c>
      <c r="N98" s="7">
        <v>14.2</v>
      </c>
      <c r="O98" s="7" t="s">
        <v>47</v>
      </c>
      <c r="P98" s="7">
        <v>1</v>
      </c>
      <c r="Q98" s="7" t="s">
        <v>47</v>
      </c>
      <c r="R98" s="7" t="s">
        <v>26</v>
      </c>
      <c r="S98" s="7" t="s">
        <v>26</v>
      </c>
      <c r="T98" s="7" t="s">
        <v>47</v>
      </c>
      <c r="U98" s="7">
        <v>4</v>
      </c>
      <c r="V98" s="7" t="s">
        <v>34</v>
      </c>
      <c r="W98" s="8">
        <f xml:space="preserve">VLOOKUP(D98,[1]sheet!$J:$O,6,0)</f>
        <v>32</v>
      </c>
    </row>
    <row r="99" s="1" customFormat="1" ht="16.5" spans="1:23">
      <c r="A99" s="6">
        <v>263</v>
      </c>
      <c r="B99" s="6" t="s">
        <v>22</v>
      </c>
      <c r="C99" s="6" t="s">
        <v>23</v>
      </c>
      <c r="D99" s="6" t="s">
        <v>244</v>
      </c>
      <c r="E99" s="6" t="s">
        <v>245</v>
      </c>
      <c r="F99" s="6" t="s">
        <v>26</v>
      </c>
      <c r="G99" s="6" t="s">
        <v>58</v>
      </c>
      <c r="H99" s="6" t="s">
        <v>47</v>
      </c>
      <c r="I99" s="7">
        <v>9.8</v>
      </c>
      <c r="J99" s="7">
        <v>0</v>
      </c>
      <c r="K99" s="7">
        <v>0</v>
      </c>
      <c r="L99" s="7">
        <v>0</v>
      </c>
      <c r="M99" s="7">
        <v>0</v>
      </c>
      <c r="N99" s="7">
        <v>9.8</v>
      </c>
      <c r="O99" s="7" t="s">
        <v>47</v>
      </c>
      <c r="P99" s="7">
        <v>1</v>
      </c>
      <c r="Q99" s="7" t="s">
        <v>47</v>
      </c>
      <c r="R99" s="7" t="s">
        <v>26</v>
      </c>
      <c r="S99" s="7" t="s">
        <v>26</v>
      </c>
      <c r="T99" s="7" t="s">
        <v>47</v>
      </c>
      <c r="U99" s="7">
        <v>6</v>
      </c>
      <c r="V99" s="7" t="s">
        <v>34</v>
      </c>
      <c r="W99" s="8">
        <f xml:space="preserve">VLOOKUP(D99,[1]sheet!$J:$O,6,0)</f>
        <v>32</v>
      </c>
    </row>
    <row r="100" s="1" customFormat="1" ht="16.5" spans="1:23">
      <c r="A100" s="6">
        <v>254</v>
      </c>
      <c r="B100" s="6" t="s">
        <v>22</v>
      </c>
      <c r="C100" s="6" t="s">
        <v>23</v>
      </c>
      <c r="D100" s="6" t="s">
        <v>246</v>
      </c>
      <c r="E100" s="6" t="s">
        <v>247</v>
      </c>
      <c r="F100" s="6" t="s">
        <v>26</v>
      </c>
      <c r="G100" s="6" t="s">
        <v>248</v>
      </c>
      <c r="H100" s="6" t="s">
        <v>47</v>
      </c>
      <c r="I100" s="7">
        <v>16.6</v>
      </c>
      <c r="J100" s="7">
        <v>0</v>
      </c>
      <c r="K100" s="7">
        <v>0</v>
      </c>
      <c r="L100" s="7">
        <v>0</v>
      </c>
      <c r="M100" s="7">
        <v>0</v>
      </c>
      <c r="N100" s="7">
        <v>16.6</v>
      </c>
      <c r="O100" s="7" t="s">
        <v>47</v>
      </c>
      <c r="P100" s="7">
        <v>1</v>
      </c>
      <c r="Q100" s="7" t="s">
        <v>47</v>
      </c>
      <c r="R100" s="7" t="s">
        <v>26</v>
      </c>
      <c r="S100" s="7" t="s">
        <v>26</v>
      </c>
      <c r="T100" s="7" t="s">
        <v>47</v>
      </c>
      <c r="U100" s="7">
        <v>16</v>
      </c>
      <c r="V100" s="7" t="s">
        <v>34</v>
      </c>
      <c r="W100" s="8">
        <f xml:space="preserve">VLOOKUP(D100,[1]sheet!$J:$O,6,0)</f>
        <v>16</v>
      </c>
    </row>
    <row r="101" s="1" customFormat="1" ht="16.5" spans="1:23">
      <c r="A101" s="6">
        <v>241</v>
      </c>
      <c r="B101" s="6" t="s">
        <v>22</v>
      </c>
      <c r="C101" s="6" t="s">
        <v>23</v>
      </c>
      <c r="D101" s="6" t="s">
        <v>249</v>
      </c>
      <c r="E101" s="6" t="s">
        <v>250</v>
      </c>
      <c r="F101" s="6" t="s">
        <v>26</v>
      </c>
      <c r="G101" s="6" t="s">
        <v>251</v>
      </c>
      <c r="H101" s="6" t="s">
        <v>47</v>
      </c>
      <c r="I101" s="7">
        <v>8.9</v>
      </c>
      <c r="J101" s="7">
        <v>0</v>
      </c>
      <c r="K101" s="7">
        <v>0</v>
      </c>
      <c r="L101" s="7">
        <v>0</v>
      </c>
      <c r="M101" s="7">
        <v>0</v>
      </c>
      <c r="N101" s="7">
        <v>8.9</v>
      </c>
      <c r="O101" s="7" t="s">
        <v>47</v>
      </c>
      <c r="P101" s="7">
        <v>1</v>
      </c>
      <c r="Q101" s="7" t="s">
        <v>47</v>
      </c>
      <c r="R101" s="7" t="s">
        <v>26</v>
      </c>
      <c r="S101" s="7" t="s">
        <v>26</v>
      </c>
      <c r="T101" s="7"/>
      <c r="U101" s="7"/>
      <c r="V101" s="7"/>
      <c r="W101" s="8">
        <f xml:space="preserve">VLOOKUP(D101,[1]sheet!$J:$O,6,0)</f>
        <v>16</v>
      </c>
    </row>
    <row r="102" s="1" customFormat="1" ht="16.5" spans="1:23">
      <c r="A102" s="6">
        <v>267</v>
      </c>
      <c r="B102" s="6" t="s">
        <v>22</v>
      </c>
      <c r="C102" s="6" t="s">
        <v>23</v>
      </c>
      <c r="D102" s="6" t="s">
        <v>252</v>
      </c>
      <c r="E102" s="6" t="s">
        <v>253</v>
      </c>
      <c r="F102" s="6" t="s">
        <v>26</v>
      </c>
      <c r="G102" s="6" t="s">
        <v>151</v>
      </c>
      <c r="H102" s="6" t="s">
        <v>47</v>
      </c>
      <c r="I102" s="7">
        <v>9.6</v>
      </c>
      <c r="J102" s="7">
        <v>0</v>
      </c>
      <c r="K102" s="7">
        <v>0</v>
      </c>
      <c r="L102" s="7">
        <v>0</v>
      </c>
      <c r="M102" s="7">
        <v>0</v>
      </c>
      <c r="N102" s="7">
        <v>9.6</v>
      </c>
      <c r="O102" s="7" t="s">
        <v>47</v>
      </c>
      <c r="P102" s="7">
        <v>1</v>
      </c>
      <c r="Q102" s="7" t="s">
        <v>47</v>
      </c>
      <c r="R102" s="7" t="s">
        <v>26</v>
      </c>
      <c r="S102" s="7" t="s">
        <v>26</v>
      </c>
      <c r="T102" s="7"/>
      <c r="U102" s="7"/>
      <c r="V102" s="7"/>
      <c r="W102" s="8">
        <f xml:space="preserve">VLOOKUP(D102,[1]sheet!$J:$O,6,0)</f>
        <v>16</v>
      </c>
    </row>
    <row r="103" s="1" customFormat="1" ht="16.5" spans="1:23">
      <c r="A103" s="6">
        <v>232</v>
      </c>
      <c r="B103" s="6" t="s">
        <v>22</v>
      </c>
      <c r="C103" s="6" t="s">
        <v>23</v>
      </c>
      <c r="D103" s="6" t="s">
        <v>254</v>
      </c>
      <c r="E103" s="6" t="s">
        <v>255</v>
      </c>
      <c r="F103" s="6" t="s">
        <v>26</v>
      </c>
      <c r="G103" s="6" t="s">
        <v>256</v>
      </c>
      <c r="H103" s="6" t="s">
        <v>47</v>
      </c>
      <c r="I103" s="7">
        <v>12.2</v>
      </c>
      <c r="J103" s="7">
        <v>0</v>
      </c>
      <c r="K103" s="7">
        <v>0</v>
      </c>
      <c r="L103" s="7">
        <v>0</v>
      </c>
      <c r="M103" s="7">
        <v>0</v>
      </c>
      <c r="N103" s="7">
        <v>12.2</v>
      </c>
      <c r="O103" s="7" t="s">
        <v>47</v>
      </c>
      <c r="P103" s="7">
        <v>1</v>
      </c>
      <c r="Q103" s="7" t="s">
        <v>47</v>
      </c>
      <c r="R103" s="7" t="s">
        <v>26</v>
      </c>
      <c r="S103" s="7" t="s">
        <v>26</v>
      </c>
      <c r="T103" s="7" t="s">
        <v>47</v>
      </c>
      <c r="U103" s="7">
        <v>60</v>
      </c>
      <c r="V103" s="7" t="s">
        <v>34</v>
      </c>
      <c r="W103" s="8">
        <f xml:space="preserve">VLOOKUP(D103,[1]sheet!$J:$O,6,0)</f>
        <v>60</v>
      </c>
    </row>
    <row r="104" s="1" customFormat="1" ht="16.5" spans="1:23">
      <c r="A104" s="6">
        <v>265</v>
      </c>
      <c r="B104" s="6" t="s">
        <v>22</v>
      </c>
      <c r="C104" s="6" t="s">
        <v>23</v>
      </c>
      <c r="D104" s="6" t="s">
        <v>257</v>
      </c>
      <c r="E104" s="6" t="s">
        <v>258</v>
      </c>
      <c r="F104" s="6" t="s">
        <v>26</v>
      </c>
      <c r="G104" s="6" t="s">
        <v>58</v>
      </c>
      <c r="H104" s="6" t="s">
        <v>47</v>
      </c>
      <c r="I104" s="7">
        <v>10.2</v>
      </c>
      <c r="J104" s="7">
        <v>0</v>
      </c>
      <c r="K104" s="7">
        <v>0</v>
      </c>
      <c r="L104" s="7">
        <v>0</v>
      </c>
      <c r="M104" s="7">
        <v>0</v>
      </c>
      <c r="N104" s="7">
        <v>10.2</v>
      </c>
      <c r="O104" s="7" t="s">
        <v>47</v>
      </c>
      <c r="P104" s="7">
        <v>1</v>
      </c>
      <c r="Q104" s="7" t="s">
        <v>47</v>
      </c>
      <c r="R104" s="7" t="s">
        <v>26</v>
      </c>
      <c r="S104" s="7" t="s">
        <v>26</v>
      </c>
      <c r="T104" s="7" t="s">
        <v>47</v>
      </c>
      <c r="U104" s="7">
        <v>6</v>
      </c>
      <c r="V104" s="7" t="s">
        <v>34</v>
      </c>
      <c r="W104" s="8">
        <f xml:space="preserve">VLOOKUP(D104,[1]sheet!$J:$O,6,0)</f>
        <v>32</v>
      </c>
    </row>
    <row r="105" s="1" customFormat="1" ht="16.5" spans="1:23">
      <c r="A105" s="6">
        <v>266</v>
      </c>
      <c r="B105" s="6" t="s">
        <v>22</v>
      </c>
      <c r="C105" s="6" t="s">
        <v>23</v>
      </c>
      <c r="D105" s="6" t="s">
        <v>259</v>
      </c>
      <c r="E105" s="6" t="s">
        <v>260</v>
      </c>
      <c r="F105" s="6" t="s">
        <v>26</v>
      </c>
      <c r="G105" s="6" t="s">
        <v>97</v>
      </c>
      <c r="H105" s="6" t="s">
        <v>47</v>
      </c>
      <c r="I105" s="7">
        <v>10.7</v>
      </c>
      <c r="J105" s="7">
        <v>0</v>
      </c>
      <c r="K105" s="7">
        <v>0</v>
      </c>
      <c r="L105" s="7">
        <v>0</v>
      </c>
      <c r="M105" s="7">
        <v>0</v>
      </c>
      <c r="N105" s="7">
        <v>10.7</v>
      </c>
      <c r="O105" s="7" t="s">
        <v>47</v>
      </c>
      <c r="P105" s="7">
        <v>1</v>
      </c>
      <c r="Q105" s="7" t="s">
        <v>47</v>
      </c>
      <c r="R105" s="7" t="s">
        <v>26</v>
      </c>
      <c r="S105" s="7" t="s">
        <v>26</v>
      </c>
      <c r="T105" s="7" t="s">
        <v>47</v>
      </c>
      <c r="U105" s="7">
        <v>8</v>
      </c>
      <c r="V105" s="7" t="s">
        <v>34</v>
      </c>
      <c r="W105" s="8" t="s">
        <v>51</v>
      </c>
    </row>
    <row r="106" s="1" customFormat="1" ht="16.5" hidden="1" spans="1:23">
      <c r="A106" s="6">
        <v>34</v>
      </c>
      <c r="B106" s="6" t="s">
        <v>22</v>
      </c>
      <c r="C106" s="6" t="s">
        <v>65</v>
      </c>
      <c r="D106" s="6" t="s">
        <v>261</v>
      </c>
      <c r="E106" s="6" t="s">
        <v>262</v>
      </c>
      <c r="F106" s="6" t="s">
        <v>26</v>
      </c>
      <c r="G106" s="6" t="s">
        <v>263</v>
      </c>
      <c r="H106" s="6" t="s">
        <v>47</v>
      </c>
      <c r="I106" s="7">
        <v>5.4</v>
      </c>
      <c r="J106" s="7">
        <v>0.0203544</v>
      </c>
      <c r="K106" s="7">
        <v>0.257</v>
      </c>
      <c r="L106" s="7">
        <v>0.24</v>
      </c>
      <c r="M106" s="7">
        <v>0.33</v>
      </c>
      <c r="N106" s="7">
        <v>5.4</v>
      </c>
      <c r="O106" s="7" t="s">
        <v>47</v>
      </c>
      <c r="P106" s="7">
        <v>1</v>
      </c>
      <c r="Q106" s="7" t="s">
        <v>47</v>
      </c>
      <c r="R106" s="7" t="s">
        <v>26</v>
      </c>
      <c r="S106" s="7" t="s">
        <v>26</v>
      </c>
      <c r="T106" s="7"/>
      <c r="U106" s="7"/>
      <c r="V106" s="7"/>
      <c r="W106" s="7"/>
    </row>
    <row r="107" s="1" customFormat="1" ht="16.5" hidden="1" spans="1:23">
      <c r="A107" s="6">
        <v>35</v>
      </c>
      <c r="B107" s="6" t="s">
        <v>22</v>
      </c>
      <c r="C107" s="6" t="s">
        <v>65</v>
      </c>
      <c r="D107" s="6" t="s">
        <v>261</v>
      </c>
      <c r="E107" s="6" t="s">
        <v>262</v>
      </c>
      <c r="F107" s="6" t="s">
        <v>26</v>
      </c>
      <c r="G107" s="6" t="s">
        <v>263</v>
      </c>
      <c r="H107" s="6" t="s">
        <v>47</v>
      </c>
      <c r="I107" s="7">
        <v>5.4</v>
      </c>
      <c r="J107" s="7">
        <v>0.0203544</v>
      </c>
      <c r="K107" s="7">
        <v>0.257</v>
      </c>
      <c r="L107" s="7">
        <v>0.24</v>
      </c>
      <c r="M107" s="7">
        <v>0.33</v>
      </c>
      <c r="N107" s="7">
        <v>5.4</v>
      </c>
      <c r="O107" s="7" t="s">
        <v>47</v>
      </c>
      <c r="P107" s="7">
        <v>1</v>
      </c>
      <c r="Q107" s="7" t="s">
        <v>34</v>
      </c>
      <c r="R107" s="7" t="s">
        <v>39</v>
      </c>
      <c r="S107" s="7" t="s">
        <v>39</v>
      </c>
      <c r="T107" s="7"/>
      <c r="U107" s="7"/>
      <c r="V107" s="7"/>
      <c r="W107" s="7"/>
    </row>
    <row r="108" s="1" customFormat="1" ht="16.5" spans="1:23">
      <c r="A108" s="6">
        <v>196</v>
      </c>
      <c r="B108" s="6" t="s">
        <v>22</v>
      </c>
      <c r="C108" s="6" t="s">
        <v>43</v>
      </c>
      <c r="D108" s="6" t="s">
        <v>261</v>
      </c>
      <c r="E108" s="6" t="s">
        <v>262</v>
      </c>
      <c r="F108" s="6" t="s">
        <v>26</v>
      </c>
      <c r="G108" s="6" t="s">
        <v>263</v>
      </c>
      <c r="H108" s="6" t="s">
        <v>47</v>
      </c>
      <c r="I108" s="7">
        <v>5.4</v>
      </c>
      <c r="J108" s="7">
        <v>0</v>
      </c>
      <c r="K108" s="7">
        <v>0</v>
      </c>
      <c r="L108" s="7">
        <v>0</v>
      </c>
      <c r="M108" s="7">
        <v>0</v>
      </c>
      <c r="N108" s="7">
        <v>5.4</v>
      </c>
      <c r="O108" s="7" t="s">
        <v>47</v>
      </c>
      <c r="P108" s="7">
        <v>1</v>
      </c>
      <c r="Q108" s="7" t="s">
        <v>34</v>
      </c>
      <c r="R108" s="7" t="s">
        <v>39</v>
      </c>
      <c r="S108" s="7" t="s">
        <v>39</v>
      </c>
      <c r="T108" s="7"/>
      <c r="U108" s="7"/>
      <c r="V108" s="7"/>
      <c r="W108" s="8">
        <f xml:space="preserve">VLOOKUP(D108,[1]sheet!$J:$O,6,0)</f>
        <v>40</v>
      </c>
    </row>
    <row r="109" s="1" customFormat="1" ht="16.5" spans="1:23">
      <c r="A109" s="6">
        <v>246</v>
      </c>
      <c r="B109" s="6" t="s">
        <v>22</v>
      </c>
      <c r="C109" s="6" t="s">
        <v>23</v>
      </c>
      <c r="D109" s="6" t="s">
        <v>264</v>
      </c>
      <c r="E109" s="6" t="s">
        <v>265</v>
      </c>
      <c r="F109" s="6" t="s">
        <v>26</v>
      </c>
      <c r="G109" s="6" t="s">
        <v>266</v>
      </c>
      <c r="H109" s="6" t="s">
        <v>47</v>
      </c>
      <c r="I109" s="7">
        <v>12.8</v>
      </c>
      <c r="J109" s="7">
        <v>0</v>
      </c>
      <c r="K109" s="7">
        <v>0</v>
      </c>
      <c r="L109" s="7">
        <v>0</v>
      </c>
      <c r="M109" s="7">
        <v>0</v>
      </c>
      <c r="N109" s="7">
        <v>12.8</v>
      </c>
      <c r="O109" s="7" t="s">
        <v>47</v>
      </c>
      <c r="P109" s="7">
        <v>1</v>
      </c>
      <c r="Q109" s="7" t="s">
        <v>47</v>
      </c>
      <c r="R109" s="7" t="s">
        <v>26</v>
      </c>
      <c r="S109" s="7" t="s">
        <v>26</v>
      </c>
      <c r="T109" s="7" t="s">
        <v>47</v>
      </c>
      <c r="U109" s="7">
        <v>20</v>
      </c>
      <c r="V109" s="7" t="s">
        <v>34</v>
      </c>
      <c r="W109" s="8">
        <f xml:space="preserve">VLOOKUP(D109,[1]sheet!$J:$O,6,0)</f>
        <v>24</v>
      </c>
    </row>
    <row r="110" s="1" customFormat="1" ht="16.5" spans="1:23">
      <c r="A110" s="6">
        <v>168</v>
      </c>
      <c r="B110" s="6" t="s">
        <v>22</v>
      </c>
      <c r="C110" s="6" t="s">
        <v>43</v>
      </c>
      <c r="D110" s="6" t="s">
        <v>267</v>
      </c>
      <c r="E110" s="6" t="s">
        <v>268</v>
      </c>
      <c r="F110" s="6" t="s">
        <v>26</v>
      </c>
      <c r="G110" s="6" t="s">
        <v>269</v>
      </c>
      <c r="H110" s="6" t="s">
        <v>47</v>
      </c>
      <c r="I110" s="7">
        <v>15.4</v>
      </c>
      <c r="J110" s="7">
        <v>0</v>
      </c>
      <c r="K110" s="7">
        <v>0</v>
      </c>
      <c r="L110" s="7">
        <v>0</v>
      </c>
      <c r="M110" s="7">
        <v>0</v>
      </c>
      <c r="N110" s="7">
        <v>15.4</v>
      </c>
      <c r="O110" s="7" t="s">
        <v>47</v>
      </c>
      <c r="P110" s="7">
        <v>1</v>
      </c>
      <c r="Q110" s="7" t="s">
        <v>47</v>
      </c>
      <c r="R110" s="7" t="s">
        <v>26</v>
      </c>
      <c r="S110" s="7" t="s">
        <v>26</v>
      </c>
      <c r="T110" s="7"/>
      <c r="U110" s="7"/>
      <c r="V110" s="7"/>
      <c r="W110" s="8">
        <f xml:space="preserve">VLOOKUP(D110,[1]sheet!$J:$O,6,0)</f>
        <v>24</v>
      </c>
    </row>
    <row r="111" s="1" customFormat="1" ht="16.5" spans="1:23">
      <c r="A111" s="6">
        <v>193</v>
      </c>
      <c r="B111" s="6" t="s">
        <v>22</v>
      </c>
      <c r="C111" s="6" t="s">
        <v>43</v>
      </c>
      <c r="D111" s="6" t="s">
        <v>270</v>
      </c>
      <c r="E111" s="6" t="s">
        <v>271</v>
      </c>
      <c r="F111" s="6" t="s">
        <v>26</v>
      </c>
      <c r="G111" s="6" t="s">
        <v>272</v>
      </c>
      <c r="H111" s="6" t="s">
        <v>47</v>
      </c>
      <c r="I111" s="7">
        <v>6.7</v>
      </c>
      <c r="J111" s="7">
        <v>0</v>
      </c>
      <c r="K111" s="7">
        <v>0</v>
      </c>
      <c r="L111" s="7">
        <v>0</v>
      </c>
      <c r="M111" s="7">
        <v>0</v>
      </c>
      <c r="N111" s="7">
        <v>6.7</v>
      </c>
      <c r="O111" s="7" t="s">
        <v>47</v>
      </c>
      <c r="P111" s="7">
        <v>1</v>
      </c>
      <c r="Q111" s="7" t="s">
        <v>47</v>
      </c>
      <c r="R111" s="7" t="s">
        <v>26</v>
      </c>
      <c r="S111" s="7" t="s">
        <v>26</v>
      </c>
      <c r="T111" s="7"/>
      <c r="U111" s="7"/>
      <c r="V111" s="7"/>
      <c r="W111" s="8">
        <f xml:space="preserve">VLOOKUP(D111,[1]sheet!$J:$O,6,0)</f>
        <v>30</v>
      </c>
    </row>
    <row r="112" s="1" customFormat="1" ht="16.5" spans="1:23">
      <c r="A112" s="6">
        <v>236</v>
      </c>
      <c r="B112" s="6" t="s">
        <v>22</v>
      </c>
      <c r="C112" s="6" t="s">
        <v>23</v>
      </c>
      <c r="D112" s="6" t="s">
        <v>273</v>
      </c>
      <c r="E112" s="6" t="s">
        <v>274</v>
      </c>
      <c r="F112" s="6" t="s">
        <v>26</v>
      </c>
      <c r="G112" s="6" t="s">
        <v>275</v>
      </c>
      <c r="H112" s="6" t="s">
        <v>33</v>
      </c>
      <c r="I112" s="7">
        <v>2.6</v>
      </c>
      <c r="J112" s="7">
        <v>0</v>
      </c>
      <c r="K112" s="7">
        <v>0</v>
      </c>
      <c r="L112" s="7">
        <v>0</v>
      </c>
      <c r="M112" s="7">
        <v>0</v>
      </c>
      <c r="N112" s="7">
        <v>2.6</v>
      </c>
      <c r="O112" s="7" t="s">
        <v>33</v>
      </c>
      <c r="P112" s="7">
        <v>1</v>
      </c>
      <c r="Q112" s="7" t="s">
        <v>33</v>
      </c>
      <c r="R112" s="7" t="s">
        <v>26</v>
      </c>
      <c r="S112" s="7" t="s">
        <v>26</v>
      </c>
      <c r="T112" s="7" t="s">
        <v>33</v>
      </c>
      <c r="U112" s="7">
        <v>72</v>
      </c>
      <c r="V112" s="7" t="s">
        <v>34</v>
      </c>
      <c r="W112" s="8">
        <f xml:space="preserve">VLOOKUP(D112,[1]sheet!$J:$O,6,0)</f>
        <v>25</v>
      </c>
    </row>
    <row r="113" s="1" customFormat="1" ht="16.5" spans="1:23">
      <c r="A113" s="6">
        <v>262</v>
      </c>
      <c r="B113" s="6" t="s">
        <v>22</v>
      </c>
      <c r="C113" s="6" t="s">
        <v>23</v>
      </c>
      <c r="D113" s="6" t="s">
        <v>276</v>
      </c>
      <c r="E113" s="6" t="s">
        <v>277</v>
      </c>
      <c r="F113" s="6" t="s">
        <v>26</v>
      </c>
      <c r="G113" s="6" t="s">
        <v>278</v>
      </c>
      <c r="H113" s="6" t="s">
        <v>33</v>
      </c>
      <c r="I113" s="7">
        <v>3.2</v>
      </c>
      <c r="J113" s="7">
        <v>0</v>
      </c>
      <c r="K113" s="7">
        <v>0</v>
      </c>
      <c r="L113" s="7">
        <v>0</v>
      </c>
      <c r="M113" s="7">
        <v>0</v>
      </c>
      <c r="N113" s="7">
        <v>3.2</v>
      </c>
      <c r="O113" s="7" t="s">
        <v>33</v>
      </c>
      <c r="P113" s="7">
        <v>1</v>
      </c>
      <c r="Q113" s="7" t="s">
        <v>33</v>
      </c>
      <c r="R113" s="7" t="s">
        <v>26</v>
      </c>
      <c r="S113" s="7" t="s">
        <v>26</v>
      </c>
      <c r="T113" s="7" t="s">
        <v>33</v>
      </c>
      <c r="U113" s="7">
        <v>36</v>
      </c>
      <c r="V113" s="7" t="s">
        <v>34</v>
      </c>
      <c r="W113" s="8">
        <f xml:space="preserve">VLOOKUP(D113,[1]sheet!$J:$O,6,0)</f>
        <v>25</v>
      </c>
    </row>
    <row r="114" s="1" customFormat="1" ht="16.5" spans="1:23">
      <c r="A114" s="6">
        <v>197</v>
      </c>
      <c r="B114" s="6" t="s">
        <v>22</v>
      </c>
      <c r="C114" s="6" t="s">
        <v>43</v>
      </c>
      <c r="D114" s="6" t="s">
        <v>279</v>
      </c>
      <c r="E114" s="6" t="s">
        <v>280</v>
      </c>
      <c r="F114" s="6" t="s">
        <v>26</v>
      </c>
      <c r="G114" s="6" t="s">
        <v>27</v>
      </c>
      <c r="H114" s="6" t="s">
        <v>33</v>
      </c>
      <c r="I114" s="7">
        <v>55</v>
      </c>
      <c r="J114" s="7">
        <v>0</v>
      </c>
      <c r="K114" s="7">
        <v>0</v>
      </c>
      <c r="L114" s="7">
        <v>0</v>
      </c>
      <c r="M114" s="7">
        <v>0</v>
      </c>
      <c r="N114" s="7">
        <v>55</v>
      </c>
      <c r="O114" s="7" t="s">
        <v>33</v>
      </c>
      <c r="P114" s="7">
        <v>1</v>
      </c>
      <c r="Q114" s="7" t="s">
        <v>34</v>
      </c>
      <c r="R114" s="7" t="s">
        <v>39</v>
      </c>
      <c r="S114" s="7" t="s">
        <v>39</v>
      </c>
      <c r="T114" s="7"/>
      <c r="U114" s="7"/>
      <c r="V114" s="7"/>
      <c r="W114" s="8">
        <f xml:space="preserve">VLOOKUP(D114,[1]sheet!$J:$O,6,0)</f>
        <v>1</v>
      </c>
    </row>
    <row r="115" s="1" customFormat="1" ht="16.5" spans="1:23">
      <c r="A115" s="6">
        <v>154</v>
      </c>
      <c r="B115" s="6" t="s">
        <v>22</v>
      </c>
      <c r="C115" s="6" t="s">
        <v>43</v>
      </c>
      <c r="D115" s="6" t="s">
        <v>281</v>
      </c>
      <c r="E115" s="6" t="s">
        <v>282</v>
      </c>
      <c r="F115" s="6" t="s">
        <v>26</v>
      </c>
      <c r="G115" s="6" t="s">
        <v>27</v>
      </c>
      <c r="H115" s="6" t="s">
        <v>33</v>
      </c>
      <c r="I115" s="7">
        <v>0.8</v>
      </c>
      <c r="J115" s="7">
        <v>0</v>
      </c>
      <c r="K115" s="7">
        <v>0</v>
      </c>
      <c r="L115" s="7">
        <v>0</v>
      </c>
      <c r="M115" s="7">
        <v>0</v>
      </c>
      <c r="N115" s="7">
        <v>0.8</v>
      </c>
      <c r="O115" s="7" t="s">
        <v>33</v>
      </c>
      <c r="P115" s="7">
        <v>1</v>
      </c>
      <c r="Q115" s="7" t="s">
        <v>34</v>
      </c>
      <c r="R115" s="7" t="s">
        <v>39</v>
      </c>
      <c r="S115" s="7" t="s">
        <v>39</v>
      </c>
      <c r="T115" s="7"/>
      <c r="U115" s="7"/>
      <c r="V115" s="7"/>
      <c r="W115" s="8">
        <f xml:space="preserve">VLOOKUP(D115,[1]sheet!$J:$O,6,0)</f>
        <v>200</v>
      </c>
    </row>
    <row r="116" s="1" customFormat="1" ht="16.5" spans="1:23">
      <c r="A116" s="6">
        <v>191</v>
      </c>
      <c r="B116" s="6" t="s">
        <v>22</v>
      </c>
      <c r="C116" s="6" t="s">
        <v>43</v>
      </c>
      <c r="D116" s="6" t="s">
        <v>283</v>
      </c>
      <c r="E116" s="6" t="s">
        <v>284</v>
      </c>
      <c r="F116" s="6" t="s">
        <v>26</v>
      </c>
      <c r="G116" s="6" t="s">
        <v>27</v>
      </c>
      <c r="H116" s="6" t="s">
        <v>33</v>
      </c>
      <c r="I116" s="7">
        <v>0.8</v>
      </c>
      <c r="J116" s="7">
        <v>0</v>
      </c>
      <c r="K116" s="7">
        <v>0</v>
      </c>
      <c r="L116" s="7">
        <v>0</v>
      </c>
      <c r="M116" s="7">
        <v>0</v>
      </c>
      <c r="N116" s="7">
        <v>0.8</v>
      </c>
      <c r="O116" s="7" t="s">
        <v>33</v>
      </c>
      <c r="P116" s="7">
        <v>1</v>
      </c>
      <c r="Q116" s="7" t="s">
        <v>34</v>
      </c>
      <c r="R116" s="7" t="s">
        <v>39</v>
      </c>
      <c r="S116" s="7" t="s">
        <v>39</v>
      </c>
      <c r="T116" s="7"/>
      <c r="U116" s="7"/>
      <c r="V116" s="7"/>
      <c r="W116" s="8">
        <f xml:space="preserve">VLOOKUP(D116,[1]sheet!$J:$O,6,0)</f>
        <v>200</v>
      </c>
    </row>
    <row r="117" s="1" customFormat="1" ht="16.5" spans="1:23">
      <c r="A117" s="6">
        <v>162</v>
      </c>
      <c r="B117" s="6" t="s">
        <v>22</v>
      </c>
      <c r="C117" s="6" t="s">
        <v>43</v>
      </c>
      <c r="D117" s="6" t="s">
        <v>285</v>
      </c>
      <c r="E117" s="6" t="s">
        <v>286</v>
      </c>
      <c r="F117" s="6" t="s">
        <v>26</v>
      </c>
      <c r="G117" s="6" t="s">
        <v>27</v>
      </c>
      <c r="H117" s="6" t="s">
        <v>33</v>
      </c>
      <c r="I117" s="7">
        <v>1.8</v>
      </c>
      <c r="J117" s="7">
        <v>0</v>
      </c>
      <c r="K117" s="7">
        <v>0</v>
      </c>
      <c r="L117" s="7">
        <v>0</v>
      </c>
      <c r="M117" s="7">
        <v>0</v>
      </c>
      <c r="N117" s="7">
        <v>1.8</v>
      </c>
      <c r="O117" s="7" t="s">
        <v>33</v>
      </c>
      <c r="P117" s="7">
        <v>1</v>
      </c>
      <c r="Q117" s="7" t="s">
        <v>34</v>
      </c>
      <c r="R117" s="7" t="s">
        <v>39</v>
      </c>
      <c r="S117" s="7" t="s">
        <v>39</v>
      </c>
      <c r="T117" s="7"/>
      <c r="U117" s="7"/>
      <c r="V117" s="7"/>
      <c r="W117" s="8">
        <f xml:space="preserve">VLOOKUP(D117,[1]sheet!$J:$O,6,0)</f>
        <v>16</v>
      </c>
    </row>
    <row r="118" s="1" customFormat="1" ht="16.5" spans="1:23">
      <c r="A118" s="6">
        <v>145</v>
      </c>
      <c r="B118" s="6" t="s">
        <v>22</v>
      </c>
      <c r="C118" s="6" t="s">
        <v>43</v>
      </c>
      <c r="D118" s="6" t="s">
        <v>287</v>
      </c>
      <c r="E118" s="6" t="s">
        <v>288</v>
      </c>
      <c r="F118" s="6" t="s">
        <v>26</v>
      </c>
      <c r="G118" s="6" t="s">
        <v>171</v>
      </c>
      <c r="H118" s="6" t="s">
        <v>28</v>
      </c>
      <c r="I118" s="7">
        <v>1.02</v>
      </c>
      <c r="J118" s="7">
        <v>0</v>
      </c>
      <c r="K118" s="7">
        <v>0</v>
      </c>
      <c r="L118" s="7">
        <v>0</v>
      </c>
      <c r="M118" s="7">
        <v>0</v>
      </c>
      <c r="N118" s="7">
        <v>1.02</v>
      </c>
      <c r="O118" s="7" t="s">
        <v>28</v>
      </c>
      <c r="P118" s="7">
        <v>1</v>
      </c>
      <c r="Q118" s="7" t="s">
        <v>28</v>
      </c>
      <c r="R118" s="7" t="s">
        <v>39</v>
      </c>
      <c r="S118" s="7" t="s">
        <v>39</v>
      </c>
      <c r="T118" s="7"/>
      <c r="U118" s="7"/>
      <c r="V118" s="7"/>
      <c r="W118" s="8" t="s">
        <v>51</v>
      </c>
    </row>
    <row r="119" s="1" customFormat="1" ht="16.5" spans="1:23">
      <c r="A119" s="6">
        <v>151</v>
      </c>
      <c r="B119" s="6" t="s">
        <v>22</v>
      </c>
      <c r="C119" s="6" t="s">
        <v>43</v>
      </c>
      <c r="D119" s="6" t="s">
        <v>289</v>
      </c>
      <c r="E119" s="6" t="s">
        <v>290</v>
      </c>
      <c r="F119" s="6" t="s">
        <v>26</v>
      </c>
      <c r="G119" s="6" t="s">
        <v>171</v>
      </c>
      <c r="H119" s="6" t="s">
        <v>28</v>
      </c>
      <c r="I119" s="7">
        <v>11.5</v>
      </c>
      <c r="J119" s="7">
        <v>0</v>
      </c>
      <c r="K119" s="7">
        <v>0</v>
      </c>
      <c r="L119" s="7">
        <v>0</v>
      </c>
      <c r="M119" s="7">
        <v>0</v>
      </c>
      <c r="N119" s="7">
        <v>11.5</v>
      </c>
      <c r="O119" s="7" t="s">
        <v>28</v>
      </c>
      <c r="P119" s="7">
        <v>1</v>
      </c>
      <c r="Q119" s="7" t="s">
        <v>28</v>
      </c>
      <c r="R119" s="7" t="s">
        <v>26</v>
      </c>
      <c r="S119" s="7" t="s">
        <v>26</v>
      </c>
      <c r="T119" s="7" t="s">
        <v>28</v>
      </c>
      <c r="U119" s="7">
        <v>12</v>
      </c>
      <c r="V119" s="7" t="s">
        <v>34</v>
      </c>
      <c r="W119" s="8">
        <f xml:space="preserve">VLOOKUP(D119,[1]sheet!$J:$O,6,0)</f>
        <v>18</v>
      </c>
    </row>
    <row r="120" s="1" customFormat="1" ht="16.5" spans="1:23">
      <c r="A120" s="6">
        <v>183</v>
      </c>
      <c r="B120" s="6" t="s">
        <v>22</v>
      </c>
      <c r="C120" s="6" t="s">
        <v>43</v>
      </c>
      <c r="D120" s="6" t="s">
        <v>291</v>
      </c>
      <c r="E120" s="6" t="s">
        <v>292</v>
      </c>
      <c r="F120" s="6" t="s">
        <v>26</v>
      </c>
      <c r="G120" s="6" t="s">
        <v>293</v>
      </c>
      <c r="H120" s="6" t="s">
        <v>33</v>
      </c>
      <c r="I120" s="7">
        <v>12.66</v>
      </c>
      <c r="J120" s="7">
        <v>0</v>
      </c>
      <c r="K120" s="7">
        <v>0</v>
      </c>
      <c r="L120" s="7">
        <v>0</v>
      </c>
      <c r="M120" s="7">
        <v>0</v>
      </c>
      <c r="N120" s="7">
        <v>12.66</v>
      </c>
      <c r="O120" s="7" t="s">
        <v>33</v>
      </c>
      <c r="P120" s="7">
        <v>1</v>
      </c>
      <c r="Q120" s="7" t="s">
        <v>33</v>
      </c>
      <c r="R120" s="7" t="s">
        <v>26</v>
      </c>
      <c r="S120" s="7" t="s">
        <v>26</v>
      </c>
      <c r="T120" s="7" t="s">
        <v>33</v>
      </c>
      <c r="U120" s="7">
        <v>18</v>
      </c>
      <c r="V120" s="7" t="s">
        <v>34</v>
      </c>
      <c r="W120" s="8">
        <f xml:space="preserve">VLOOKUP(D120,[1]sheet!$J:$O,6,0)</f>
        <v>40</v>
      </c>
    </row>
    <row r="121" s="1" customFormat="1" ht="16.5" spans="1:23">
      <c r="A121" s="6">
        <v>206</v>
      </c>
      <c r="B121" s="6" t="s">
        <v>22</v>
      </c>
      <c r="C121" s="6" t="s">
        <v>43</v>
      </c>
      <c r="D121" s="6" t="s">
        <v>294</v>
      </c>
      <c r="E121" s="6" t="s">
        <v>295</v>
      </c>
      <c r="F121" s="6" t="s">
        <v>26</v>
      </c>
      <c r="G121" s="6" t="s">
        <v>296</v>
      </c>
      <c r="H121" s="6" t="s">
        <v>28</v>
      </c>
      <c r="I121" s="7">
        <v>1.63</v>
      </c>
      <c r="J121" s="7">
        <v>0</v>
      </c>
      <c r="K121" s="7">
        <v>0</v>
      </c>
      <c r="L121" s="7">
        <v>0</v>
      </c>
      <c r="M121" s="7">
        <v>0</v>
      </c>
      <c r="N121" s="7">
        <v>1.63</v>
      </c>
      <c r="O121" s="7" t="s">
        <v>28</v>
      </c>
      <c r="P121" s="7">
        <v>1</v>
      </c>
      <c r="Q121" s="7" t="s">
        <v>28</v>
      </c>
      <c r="R121" s="7" t="s">
        <v>26</v>
      </c>
      <c r="S121" s="7" t="s">
        <v>26</v>
      </c>
      <c r="T121" s="7" t="s">
        <v>28</v>
      </c>
      <c r="U121" s="7">
        <v>6</v>
      </c>
      <c r="V121" s="7" t="s">
        <v>34</v>
      </c>
      <c r="W121" s="8" t="s">
        <v>29</v>
      </c>
    </row>
    <row r="122" s="1" customFormat="1" ht="16.5" spans="1:23">
      <c r="A122" s="6">
        <v>89</v>
      </c>
      <c r="B122" s="6" t="s">
        <v>22</v>
      </c>
      <c r="C122" s="6" t="s">
        <v>43</v>
      </c>
      <c r="D122" s="6" t="s">
        <v>297</v>
      </c>
      <c r="E122" s="6" t="s">
        <v>298</v>
      </c>
      <c r="F122" s="6" t="s">
        <v>26</v>
      </c>
      <c r="G122" s="6" t="s">
        <v>299</v>
      </c>
      <c r="H122" s="6" t="s">
        <v>28</v>
      </c>
      <c r="I122" s="7">
        <v>0.57</v>
      </c>
      <c r="J122" s="7">
        <v>0</v>
      </c>
      <c r="K122" s="7">
        <v>0</v>
      </c>
      <c r="L122" s="7">
        <v>0</v>
      </c>
      <c r="M122" s="7">
        <v>0</v>
      </c>
      <c r="N122" s="7">
        <v>0.57</v>
      </c>
      <c r="O122" s="7" t="s">
        <v>28</v>
      </c>
      <c r="P122" s="7">
        <v>1</v>
      </c>
      <c r="Q122" s="7" t="s">
        <v>28</v>
      </c>
      <c r="R122" s="7" t="s">
        <v>39</v>
      </c>
      <c r="S122" s="7" t="s">
        <v>39</v>
      </c>
      <c r="T122" s="7"/>
      <c r="U122" s="7"/>
      <c r="V122" s="7"/>
      <c r="W122" s="8" t="s">
        <v>51</v>
      </c>
    </row>
    <row r="123" s="1" customFormat="1" ht="16.5" spans="1:23">
      <c r="A123" s="6">
        <v>159</v>
      </c>
      <c r="B123" s="6" t="s">
        <v>22</v>
      </c>
      <c r="C123" s="6" t="s">
        <v>43</v>
      </c>
      <c r="D123" s="6" t="s">
        <v>300</v>
      </c>
      <c r="E123" s="6" t="s">
        <v>301</v>
      </c>
      <c r="F123" s="6" t="s">
        <v>26</v>
      </c>
      <c r="G123" s="6" t="s">
        <v>302</v>
      </c>
      <c r="H123" s="6" t="s">
        <v>28</v>
      </c>
      <c r="I123" s="7">
        <v>1.33</v>
      </c>
      <c r="J123" s="7">
        <v>0</v>
      </c>
      <c r="K123" s="7">
        <v>0</v>
      </c>
      <c r="L123" s="7">
        <v>0</v>
      </c>
      <c r="M123" s="7">
        <v>0</v>
      </c>
      <c r="N123" s="7">
        <v>1.33</v>
      </c>
      <c r="O123" s="7" t="s">
        <v>28</v>
      </c>
      <c r="P123" s="7">
        <v>1</v>
      </c>
      <c r="Q123" s="7" t="s">
        <v>28</v>
      </c>
      <c r="R123" s="7" t="s">
        <v>26</v>
      </c>
      <c r="S123" s="7" t="s">
        <v>26</v>
      </c>
      <c r="T123" s="7" t="s">
        <v>28</v>
      </c>
      <c r="U123" s="7">
        <v>20</v>
      </c>
      <c r="V123" s="7" t="s">
        <v>34</v>
      </c>
      <c r="W123" s="8" t="s">
        <v>51</v>
      </c>
    </row>
    <row r="124" s="1" customFormat="1" ht="16.5" spans="1:23">
      <c r="A124" s="6">
        <v>86</v>
      </c>
      <c r="B124" s="6" t="s">
        <v>22</v>
      </c>
      <c r="C124" s="6" t="s">
        <v>43</v>
      </c>
      <c r="D124" s="6" t="s">
        <v>303</v>
      </c>
      <c r="E124" s="6" t="s">
        <v>304</v>
      </c>
      <c r="F124" s="6" t="s">
        <v>26</v>
      </c>
      <c r="G124" s="6" t="s">
        <v>27</v>
      </c>
      <c r="H124" s="6" t="s">
        <v>33</v>
      </c>
      <c r="I124" s="7">
        <v>4.57</v>
      </c>
      <c r="J124" s="7">
        <v>0</v>
      </c>
      <c r="K124" s="7">
        <v>0</v>
      </c>
      <c r="L124" s="7">
        <v>0</v>
      </c>
      <c r="M124" s="7">
        <v>0</v>
      </c>
      <c r="N124" s="7">
        <v>4.57</v>
      </c>
      <c r="O124" s="7" t="s">
        <v>33</v>
      </c>
      <c r="P124" s="7">
        <v>1</v>
      </c>
      <c r="Q124" s="7" t="s">
        <v>34</v>
      </c>
      <c r="R124" s="7" t="s">
        <v>39</v>
      </c>
      <c r="S124" s="7" t="s">
        <v>39</v>
      </c>
      <c r="T124" s="7"/>
      <c r="U124" s="7"/>
      <c r="V124" s="7"/>
      <c r="W124" s="8">
        <f xml:space="preserve">VLOOKUP(D124,[1]sheet!$J:$O,6,0)</f>
        <v>14</v>
      </c>
    </row>
    <row r="125" s="1" customFormat="1" ht="16.5" spans="1:23">
      <c r="A125" s="6">
        <v>166</v>
      </c>
      <c r="B125" s="6" t="s">
        <v>22</v>
      </c>
      <c r="C125" s="6" t="s">
        <v>43</v>
      </c>
      <c r="D125" s="6" t="s">
        <v>305</v>
      </c>
      <c r="E125" s="6" t="s">
        <v>306</v>
      </c>
      <c r="F125" s="6" t="s">
        <v>26</v>
      </c>
      <c r="G125" s="6" t="s">
        <v>293</v>
      </c>
      <c r="H125" s="6" t="s">
        <v>28</v>
      </c>
      <c r="I125" s="7">
        <v>0.88</v>
      </c>
      <c r="J125" s="7">
        <v>0</v>
      </c>
      <c r="K125" s="7">
        <v>0</v>
      </c>
      <c r="L125" s="7">
        <v>0</v>
      </c>
      <c r="M125" s="7">
        <v>0</v>
      </c>
      <c r="N125" s="7">
        <v>0.88</v>
      </c>
      <c r="O125" s="7" t="s">
        <v>28</v>
      </c>
      <c r="P125" s="7">
        <v>1</v>
      </c>
      <c r="Q125" s="7" t="s">
        <v>28</v>
      </c>
      <c r="R125" s="7" t="s">
        <v>39</v>
      </c>
      <c r="S125" s="7" t="s">
        <v>39</v>
      </c>
      <c r="T125" s="7"/>
      <c r="U125" s="7"/>
      <c r="V125" s="7"/>
      <c r="W125" s="8" t="s">
        <v>51</v>
      </c>
    </row>
    <row r="126" s="1" customFormat="1" ht="16.5" spans="1:23">
      <c r="A126" s="6">
        <v>177</v>
      </c>
      <c r="B126" s="6" t="s">
        <v>22</v>
      </c>
      <c r="C126" s="6" t="s">
        <v>43</v>
      </c>
      <c r="D126" s="6" t="s">
        <v>307</v>
      </c>
      <c r="E126" s="6" t="s">
        <v>308</v>
      </c>
      <c r="F126" s="6" t="s">
        <v>26</v>
      </c>
      <c r="G126" s="6" t="s">
        <v>42</v>
      </c>
      <c r="H126" s="6" t="s">
        <v>28</v>
      </c>
      <c r="I126" s="7">
        <v>3.63</v>
      </c>
      <c r="J126" s="7">
        <v>0</v>
      </c>
      <c r="K126" s="7">
        <v>0</v>
      </c>
      <c r="L126" s="7">
        <v>0</v>
      </c>
      <c r="M126" s="7">
        <v>0</v>
      </c>
      <c r="N126" s="7">
        <v>3.63</v>
      </c>
      <c r="O126" s="7" t="s">
        <v>28</v>
      </c>
      <c r="P126" s="7">
        <v>1</v>
      </c>
      <c r="Q126" s="7" t="s">
        <v>28</v>
      </c>
      <c r="R126" s="7" t="s">
        <v>26</v>
      </c>
      <c r="S126" s="7" t="s">
        <v>26</v>
      </c>
      <c r="T126" s="7" t="s">
        <v>28</v>
      </c>
      <c r="U126" s="7">
        <v>4</v>
      </c>
      <c r="V126" s="7" t="s">
        <v>34</v>
      </c>
      <c r="W126" s="8" t="s">
        <v>29</v>
      </c>
    </row>
    <row r="127" s="1" customFormat="1" ht="16.5" spans="1:23">
      <c r="A127" s="6">
        <v>81</v>
      </c>
      <c r="B127" s="6" t="s">
        <v>22</v>
      </c>
      <c r="C127" s="6" t="s">
        <v>43</v>
      </c>
      <c r="D127" s="6" t="s">
        <v>309</v>
      </c>
      <c r="E127" s="6" t="s">
        <v>310</v>
      </c>
      <c r="F127" s="6" t="s">
        <v>26</v>
      </c>
      <c r="G127" s="6" t="s">
        <v>296</v>
      </c>
      <c r="H127" s="6" t="s">
        <v>33</v>
      </c>
      <c r="I127" s="7">
        <v>1.63</v>
      </c>
      <c r="J127" s="7">
        <v>0</v>
      </c>
      <c r="K127" s="7">
        <v>0</v>
      </c>
      <c r="L127" s="7">
        <v>0</v>
      </c>
      <c r="M127" s="7">
        <v>0</v>
      </c>
      <c r="N127" s="7">
        <v>1.632</v>
      </c>
      <c r="O127" s="7" t="s">
        <v>33</v>
      </c>
      <c r="P127" s="7">
        <v>1</v>
      </c>
      <c r="Q127" s="7" t="s">
        <v>33</v>
      </c>
      <c r="R127" s="7" t="s">
        <v>26</v>
      </c>
      <c r="S127" s="7" t="s">
        <v>26</v>
      </c>
      <c r="T127" s="7" t="s">
        <v>33</v>
      </c>
      <c r="U127" s="7">
        <v>6</v>
      </c>
      <c r="V127" s="7" t="s">
        <v>34</v>
      </c>
      <c r="W127" s="8" t="s">
        <v>51</v>
      </c>
    </row>
    <row r="128" s="1" customFormat="1" ht="16.5" hidden="1" spans="1:23">
      <c r="A128" s="6">
        <v>31</v>
      </c>
      <c r="B128" s="6" t="s">
        <v>22</v>
      </c>
      <c r="C128" s="6" t="s">
        <v>65</v>
      </c>
      <c r="D128" s="6" t="s">
        <v>311</v>
      </c>
      <c r="E128" s="6" t="s">
        <v>312</v>
      </c>
      <c r="F128" s="6" t="s">
        <v>26</v>
      </c>
      <c r="G128" s="6" t="s">
        <v>313</v>
      </c>
      <c r="H128" s="6" t="s">
        <v>38</v>
      </c>
      <c r="I128" s="7">
        <v>7.55</v>
      </c>
      <c r="J128" s="7">
        <v>0.03779712</v>
      </c>
      <c r="K128" s="7">
        <v>0.34</v>
      </c>
      <c r="L128" s="7">
        <v>0.386</v>
      </c>
      <c r="M128" s="7">
        <v>0.288</v>
      </c>
      <c r="N128" s="7">
        <v>7.55</v>
      </c>
      <c r="O128" s="7" t="s">
        <v>38</v>
      </c>
      <c r="P128" s="7">
        <v>1</v>
      </c>
      <c r="Q128" s="7" t="s">
        <v>38</v>
      </c>
      <c r="R128" s="7" t="s">
        <v>26</v>
      </c>
      <c r="S128" s="7" t="s">
        <v>26</v>
      </c>
      <c r="T128" s="7" t="s">
        <v>38</v>
      </c>
      <c r="U128" s="7">
        <v>2</v>
      </c>
      <c r="V128" s="7" t="s">
        <v>34</v>
      </c>
      <c r="W128" s="7"/>
    </row>
    <row r="129" ht="16.5" spans="1:23">
      <c r="A129" s="6">
        <v>129</v>
      </c>
      <c r="B129" s="6" t="s">
        <v>22</v>
      </c>
      <c r="C129" s="6" t="s">
        <v>43</v>
      </c>
      <c r="D129" s="6" t="s">
        <v>311</v>
      </c>
      <c r="E129" s="6" t="s">
        <v>312</v>
      </c>
      <c r="F129" s="6" t="s">
        <v>26</v>
      </c>
      <c r="G129" s="6" t="s">
        <v>313</v>
      </c>
      <c r="H129" s="6" t="s">
        <v>38</v>
      </c>
      <c r="I129" s="7">
        <v>7.55</v>
      </c>
      <c r="J129" s="7">
        <v>0</v>
      </c>
      <c r="K129" s="7">
        <v>0</v>
      </c>
      <c r="L129" s="7">
        <v>0</v>
      </c>
      <c r="M129" s="7">
        <v>0</v>
      </c>
      <c r="N129" s="7">
        <v>7.55</v>
      </c>
      <c r="O129" s="7" t="s">
        <v>38</v>
      </c>
      <c r="P129" s="7">
        <v>1</v>
      </c>
      <c r="Q129" s="7" t="s">
        <v>38</v>
      </c>
      <c r="R129" s="7" t="s">
        <v>26</v>
      </c>
      <c r="S129" s="7" t="s">
        <v>26</v>
      </c>
      <c r="T129" s="7" t="s">
        <v>38</v>
      </c>
      <c r="U129" s="7">
        <v>2</v>
      </c>
      <c r="V129" s="7" t="s">
        <v>34</v>
      </c>
      <c r="W129" s="8" t="s">
        <v>29</v>
      </c>
    </row>
    <row r="130" ht="16.5" spans="1:23">
      <c r="A130" s="6">
        <v>57</v>
      </c>
      <c r="B130" s="6" t="s">
        <v>22</v>
      </c>
      <c r="C130" s="6" t="s">
        <v>43</v>
      </c>
      <c r="D130" s="6" t="s">
        <v>314</v>
      </c>
      <c r="E130" s="6" t="s">
        <v>315</v>
      </c>
      <c r="F130" s="6" t="s">
        <v>26</v>
      </c>
      <c r="G130" s="6" t="s">
        <v>316</v>
      </c>
      <c r="H130" s="6" t="s">
        <v>28</v>
      </c>
      <c r="I130" s="7">
        <v>45</v>
      </c>
      <c r="J130" s="7">
        <v>0</v>
      </c>
      <c r="K130" s="7">
        <v>0</v>
      </c>
      <c r="L130" s="7">
        <v>0</v>
      </c>
      <c r="M130" s="7">
        <v>0</v>
      </c>
      <c r="N130" s="7">
        <v>45</v>
      </c>
      <c r="O130" s="7" t="s">
        <v>28</v>
      </c>
      <c r="P130" s="7">
        <v>1</v>
      </c>
      <c r="Q130" s="7" t="s">
        <v>34</v>
      </c>
      <c r="R130" s="7" t="s">
        <v>39</v>
      </c>
      <c r="S130" s="7" t="s">
        <v>39</v>
      </c>
      <c r="T130" s="7"/>
      <c r="U130" s="7"/>
      <c r="V130" s="7"/>
      <c r="W130" s="8" t="s">
        <v>51</v>
      </c>
    </row>
    <row r="131" ht="16.5" spans="1:23">
      <c r="A131" s="6">
        <v>150</v>
      </c>
      <c r="B131" s="6" t="s">
        <v>22</v>
      </c>
      <c r="C131" s="6" t="s">
        <v>43</v>
      </c>
      <c r="D131" s="6" t="s">
        <v>317</v>
      </c>
      <c r="E131" s="6" t="s">
        <v>318</v>
      </c>
      <c r="F131" s="6" t="s">
        <v>26</v>
      </c>
      <c r="G131" s="6" t="s">
        <v>319</v>
      </c>
      <c r="H131" s="6" t="s">
        <v>38</v>
      </c>
      <c r="I131" s="7">
        <v>0.45</v>
      </c>
      <c r="J131" s="7">
        <v>0</v>
      </c>
      <c r="K131" s="7">
        <v>0</v>
      </c>
      <c r="L131" s="7">
        <v>0</v>
      </c>
      <c r="M131" s="7">
        <v>0</v>
      </c>
      <c r="N131" s="7">
        <v>0.45</v>
      </c>
      <c r="O131" s="7" t="s">
        <v>38</v>
      </c>
      <c r="P131" s="7">
        <v>1</v>
      </c>
      <c r="Q131" s="7" t="s">
        <v>38</v>
      </c>
      <c r="R131" s="7" t="s">
        <v>26</v>
      </c>
      <c r="S131" s="7" t="s">
        <v>26</v>
      </c>
      <c r="T131" s="7" t="s">
        <v>38</v>
      </c>
      <c r="U131" s="7">
        <v>30</v>
      </c>
      <c r="V131" s="7" t="s">
        <v>34</v>
      </c>
      <c r="W131" s="8" t="s">
        <v>51</v>
      </c>
    </row>
    <row r="132" ht="16.5" spans="1:23">
      <c r="A132" s="6">
        <v>80</v>
      </c>
      <c r="B132" s="6" t="s">
        <v>22</v>
      </c>
      <c r="C132" s="6" t="s">
        <v>43</v>
      </c>
      <c r="D132" s="6" t="s">
        <v>320</v>
      </c>
      <c r="E132" s="6" t="s">
        <v>321</v>
      </c>
      <c r="F132" s="6" t="s">
        <v>26</v>
      </c>
      <c r="G132" s="6" t="s">
        <v>171</v>
      </c>
      <c r="H132" s="6" t="s">
        <v>33</v>
      </c>
      <c r="I132" s="7">
        <v>1.35</v>
      </c>
      <c r="J132" s="7">
        <v>0</v>
      </c>
      <c r="K132" s="7">
        <v>0</v>
      </c>
      <c r="L132" s="7">
        <v>0</v>
      </c>
      <c r="M132" s="7">
        <v>0</v>
      </c>
      <c r="N132" s="7">
        <v>1.35</v>
      </c>
      <c r="O132" s="7" t="s">
        <v>33</v>
      </c>
      <c r="P132" s="7">
        <v>1</v>
      </c>
      <c r="Q132" s="7" t="s">
        <v>33</v>
      </c>
      <c r="R132" s="7" t="s">
        <v>26</v>
      </c>
      <c r="S132" s="7" t="s">
        <v>26</v>
      </c>
      <c r="T132" s="7" t="s">
        <v>33</v>
      </c>
      <c r="U132" s="7">
        <v>12</v>
      </c>
      <c r="V132" s="7" t="s">
        <v>34</v>
      </c>
      <c r="W132" s="8" t="s">
        <v>51</v>
      </c>
    </row>
    <row r="133" ht="16.5" spans="1:23">
      <c r="A133" s="6">
        <v>144</v>
      </c>
      <c r="B133" s="6" t="s">
        <v>22</v>
      </c>
      <c r="C133" s="6" t="s">
        <v>43</v>
      </c>
      <c r="D133" s="6" t="s">
        <v>322</v>
      </c>
      <c r="E133" s="6" t="s">
        <v>323</v>
      </c>
      <c r="F133" s="6" t="s">
        <v>26</v>
      </c>
      <c r="G133" s="6" t="s">
        <v>324</v>
      </c>
      <c r="H133" s="6" t="s">
        <v>38</v>
      </c>
      <c r="I133" s="7">
        <v>8.2</v>
      </c>
      <c r="J133" s="7">
        <v>0</v>
      </c>
      <c r="K133" s="7">
        <v>0</v>
      </c>
      <c r="L133" s="7">
        <v>0</v>
      </c>
      <c r="M133" s="7">
        <v>0</v>
      </c>
      <c r="N133" s="7">
        <v>8.2</v>
      </c>
      <c r="O133" s="7" t="s">
        <v>38</v>
      </c>
      <c r="P133" s="7">
        <v>1</v>
      </c>
      <c r="Q133" s="7" t="s">
        <v>38</v>
      </c>
      <c r="R133" s="7" t="s">
        <v>26</v>
      </c>
      <c r="S133" s="7" t="s">
        <v>26</v>
      </c>
      <c r="T133" s="7" t="s">
        <v>38</v>
      </c>
      <c r="U133" s="7">
        <v>48</v>
      </c>
      <c r="V133" s="7" t="s">
        <v>34</v>
      </c>
      <c r="W133" s="8">
        <f xml:space="preserve">VLOOKUP(D133,[1]sheet!$J:$O,6,0)</f>
        <v>12</v>
      </c>
    </row>
    <row r="134" ht="16.5" spans="1:23">
      <c r="A134" s="6">
        <v>130</v>
      </c>
      <c r="B134" s="6" t="s">
        <v>22</v>
      </c>
      <c r="C134" s="6" t="s">
        <v>43</v>
      </c>
      <c r="D134" s="6" t="s">
        <v>325</v>
      </c>
      <c r="E134" s="6" t="s">
        <v>326</v>
      </c>
      <c r="F134" s="6" t="s">
        <v>26</v>
      </c>
      <c r="G134" s="6" t="s">
        <v>327</v>
      </c>
      <c r="H134" s="6" t="s">
        <v>328</v>
      </c>
      <c r="I134" s="7">
        <v>1.72</v>
      </c>
      <c r="J134" s="7">
        <v>0</v>
      </c>
      <c r="K134" s="7">
        <v>0</v>
      </c>
      <c r="L134" s="7">
        <v>0</v>
      </c>
      <c r="M134" s="7">
        <v>0</v>
      </c>
      <c r="N134" s="7">
        <v>1.72</v>
      </c>
      <c r="O134" s="7" t="s">
        <v>328</v>
      </c>
      <c r="P134" s="7">
        <v>1</v>
      </c>
      <c r="Q134" s="7" t="s">
        <v>328</v>
      </c>
      <c r="R134" s="7" t="s">
        <v>39</v>
      </c>
      <c r="S134" s="7" t="s">
        <v>39</v>
      </c>
      <c r="T134" s="7"/>
      <c r="U134" s="7"/>
      <c r="V134" s="7"/>
      <c r="W134" s="8" t="s">
        <v>51</v>
      </c>
    </row>
    <row r="135" ht="16.5" spans="1:23">
      <c r="A135" s="6">
        <v>147</v>
      </c>
      <c r="B135" s="6" t="s">
        <v>22</v>
      </c>
      <c r="C135" s="6" t="s">
        <v>43</v>
      </c>
      <c r="D135" s="6" t="s">
        <v>329</v>
      </c>
      <c r="E135" s="6" t="s">
        <v>330</v>
      </c>
      <c r="F135" s="6" t="s">
        <v>26</v>
      </c>
      <c r="G135" s="6" t="s">
        <v>331</v>
      </c>
      <c r="H135" s="6" t="s">
        <v>332</v>
      </c>
      <c r="I135" s="7">
        <v>13.5</v>
      </c>
      <c r="J135" s="7">
        <v>0</v>
      </c>
      <c r="K135" s="7">
        <v>0</v>
      </c>
      <c r="L135" s="7">
        <v>0</v>
      </c>
      <c r="M135" s="7">
        <v>0</v>
      </c>
      <c r="N135" s="7">
        <v>13.5</v>
      </c>
      <c r="O135" s="7" t="s">
        <v>332</v>
      </c>
      <c r="P135" s="7">
        <v>1</v>
      </c>
      <c r="Q135" s="7" t="s">
        <v>332</v>
      </c>
      <c r="R135" s="7" t="s">
        <v>26</v>
      </c>
      <c r="S135" s="7" t="s">
        <v>26</v>
      </c>
      <c r="T135" s="7" t="s">
        <v>332</v>
      </c>
      <c r="U135" s="7">
        <v>96</v>
      </c>
      <c r="V135" s="7" t="s">
        <v>34</v>
      </c>
      <c r="W135" s="8">
        <f xml:space="preserve">VLOOKUP(D135,[1]sheet!$J:$O,6,0)</f>
        <v>30</v>
      </c>
    </row>
    <row r="136" ht="16.5" spans="1:23">
      <c r="A136" s="6">
        <v>179</v>
      </c>
      <c r="B136" s="6" t="s">
        <v>22</v>
      </c>
      <c r="C136" s="6" t="s">
        <v>43</v>
      </c>
      <c r="D136" s="6" t="s">
        <v>333</v>
      </c>
      <c r="E136" s="6" t="s">
        <v>334</v>
      </c>
      <c r="F136" s="6" t="s">
        <v>26</v>
      </c>
      <c r="G136" s="6" t="s">
        <v>27</v>
      </c>
      <c r="H136" s="6" t="s">
        <v>33</v>
      </c>
      <c r="I136" s="7">
        <v>23.2</v>
      </c>
      <c r="J136" s="7">
        <v>0</v>
      </c>
      <c r="K136" s="7">
        <v>0</v>
      </c>
      <c r="L136" s="7">
        <v>0</v>
      </c>
      <c r="M136" s="7">
        <v>0</v>
      </c>
      <c r="N136" s="7">
        <v>23.2</v>
      </c>
      <c r="O136" s="7" t="s">
        <v>33</v>
      </c>
      <c r="P136" s="7">
        <v>1</v>
      </c>
      <c r="Q136" s="7" t="s">
        <v>34</v>
      </c>
      <c r="R136" s="7" t="s">
        <v>39</v>
      </c>
      <c r="S136" s="7" t="s">
        <v>39</v>
      </c>
      <c r="T136" s="7"/>
      <c r="U136" s="7"/>
      <c r="V136" s="7"/>
      <c r="W136" s="8">
        <f xml:space="preserve">VLOOKUP(D136,[1]sheet!$J:$O,6,0)</f>
        <v>6</v>
      </c>
    </row>
    <row r="137" ht="16.5" spans="1:23">
      <c r="A137" s="6">
        <v>184</v>
      </c>
      <c r="B137" s="6" t="s">
        <v>22</v>
      </c>
      <c r="C137" s="6" t="s">
        <v>43</v>
      </c>
      <c r="D137" s="6" t="s">
        <v>335</v>
      </c>
      <c r="E137" s="6" t="s">
        <v>336</v>
      </c>
      <c r="F137" s="6" t="s">
        <v>26</v>
      </c>
      <c r="G137" s="6" t="s">
        <v>337</v>
      </c>
      <c r="H137" s="6" t="s">
        <v>33</v>
      </c>
      <c r="I137" s="7">
        <v>24.48</v>
      </c>
      <c r="J137" s="7">
        <v>0</v>
      </c>
      <c r="K137" s="7">
        <v>0</v>
      </c>
      <c r="L137" s="7">
        <v>0</v>
      </c>
      <c r="M137" s="7">
        <v>0</v>
      </c>
      <c r="N137" s="7">
        <v>24.48</v>
      </c>
      <c r="O137" s="7" t="s">
        <v>33</v>
      </c>
      <c r="P137" s="7">
        <v>1</v>
      </c>
      <c r="Q137" s="7" t="s">
        <v>33</v>
      </c>
      <c r="R137" s="7" t="s">
        <v>26</v>
      </c>
      <c r="S137" s="7" t="s">
        <v>26</v>
      </c>
      <c r="T137" s="7" t="s">
        <v>33</v>
      </c>
      <c r="U137" s="7">
        <v>288</v>
      </c>
      <c r="V137" s="7" t="s">
        <v>34</v>
      </c>
      <c r="W137" s="8">
        <f xml:space="preserve">VLOOKUP(D137,[1]sheet!$J:$O,6,0)</f>
        <v>40</v>
      </c>
    </row>
    <row r="138" ht="16.5" spans="1:23">
      <c r="A138" s="6">
        <v>170</v>
      </c>
      <c r="B138" s="6" t="s">
        <v>22</v>
      </c>
      <c r="C138" s="6" t="s">
        <v>43</v>
      </c>
      <c r="D138" s="6" t="s">
        <v>338</v>
      </c>
      <c r="E138" s="6" t="s">
        <v>339</v>
      </c>
      <c r="F138" s="6" t="s">
        <v>26</v>
      </c>
      <c r="G138" s="6" t="s">
        <v>296</v>
      </c>
      <c r="H138" s="6" t="s">
        <v>28</v>
      </c>
      <c r="I138" s="7">
        <v>2.67</v>
      </c>
      <c r="J138" s="7">
        <v>0</v>
      </c>
      <c r="K138" s="7">
        <v>0</v>
      </c>
      <c r="L138" s="7">
        <v>0</v>
      </c>
      <c r="M138" s="7">
        <v>0</v>
      </c>
      <c r="N138" s="7">
        <v>2.67</v>
      </c>
      <c r="O138" s="7" t="s">
        <v>28</v>
      </c>
      <c r="P138" s="7">
        <v>1</v>
      </c>
      <c r="Q138" s="7" t="s">
        <v>28</v>
      </c>
      <c r="R138" s="7" t="s">
        <v>39</v>
      </c>
      <c r="S138" s="7" t="s">
        <v>39</v>
      </c>
      <c r="T138" s="7"/>
      <c r="U138" s="7"/>
      <c r="V138" s="7"/>
      <c r="W138" s="8" t="s">
        <v>51</v>
      </c>
    </row>
    <row r="139" ht="16.5" spans="1:23">
      <c r="A139" s="6">
        <v>165</v>
      </c>
      <c r="B139" s="6" t="s">
        <v>22</v>
      </c>
      <c r="C139" s="6" t="s">
        <v>43</v>
      </c>
      <c r="D139" s="6" t="s">
        <v>340</v>
      </c>
      <c r="E139" s="6" t="s">
        <v>341</v>
      </c>
      <c r="F139" s="6" t="s">
        <v>26</v>
      </c>
      <c r="G139" s="6" t="s">
        <v>342</v>
      </c>
      <c r="H139" s="6" t="s">
        <v>328</v>
      </c>
      <c r="I139" s="7">
        <v>17.8</v>
      </c>
      <c r="J139" s="7">
        <v>0</v>
      </c>
      <c r="K139" s="7">
        <v>0</v>
      </c>
      <c r="L139" s="7">
        <v>0</v>
      </c>
      <c r="M139" s="7">
        <v>0</v>
      </c>
      <c r="N139" s="7">
        <v>17.8</v>
      </c>
      <c r="O139" s="7" t="s">
        <v>328</v>
      </c>
      <c r="P139" s="7">
        <v>1</v>
      </c>
      <c r="Q139" s="7" t="s">
        <v>328</v>
      </c>
      <c r="R139" s="7" t="s">
        <v>26</v>
      </c>
      <c r="S139" s="7" t="s">
        <v>26</v>
      </c>
      <c r="T139" s="7" t="s">
        <v>328</v>
      </c>
      <c r="U139" s="7">
        <v>20</v>
      </c>
      <c r="V139" s="7" t="s">
        <v>34</v>
      </c>
      <c r="W139" s="8" t="s">
        <v>29</v>
      </c>
    </row>
    <row r="140" ht="16.5" spans="1:23">
      <c r="A140" s="6">
        <v>88</v>
      </c>
      <c r="B140" s="6" t="s">
        <v>22</v>
      </c>
      <c r="C140" s="6" t="s">
        <v>43</v>
      </c>
      <c r="D140" s="6" t="s">
        <v>343</v>
      </c>
      <c r="E140" s="6" t="s">
        <v>344</v>
      </c>
      <c r="F140" s="6" t="s">
        <v>26</v>
      </c>
      <c r="G140" s="6" t="s">
        <v>296</v>
      </c>
      <c r="H140" s="6" t="s">
        <v>28</v>
      </c>
      <c r="I140" s="7">
        <v>2.5</v>
      </c>
      <c r="J140" s="7">
        <v>0</v>
      </c>
      <c r="K140" s="7">
        <v>0</v>
      </c>
      <c r="L140" s="7">
        <v>0</v>
      </c>
      <c r="M140" s="7">
        <v>0</v>
      </c>
      <c r="N140" s="7">
        <v>2.5</v>
      </c>
      <c r="O140" s="7" t="s">
        <v>28</v>
      </c>
      <c r="P140" s="7">
        <v>1</v>
      </c>
      <c r="Q140" s="7" t="s">
        <v>28</v>
      </c>
      <c r="R140" s="7" t="s">
        <v>39</v>
      </c>
      <c r="S140" s="7" t="s">
        <v>39</v>
      </c>
      <c r="T140" s="7"/>
      <c r="U140" s="7"/>
      <c r="V140" s="7"/>
      <c r="W140" s="8" t="s">
        <v>51</v>
      </c>
    </row>
    <row r="141" ht="16.5" spans="1:23">
      <c r="A141" s="6">
        <v>78</v>
      </c>
      <c r="B141" s="6" t="s">
        <v>22</v>
      </c>
      <c r="C141" s="6" t="s">
        <v>43</v>
      </c>
      <c r="D141" s="6" t="s">
        <v>345</v>
      </c>
      <c r="E141" s="6" t="s">
        <v>346</v>
      </c>
      <c r="F141" s="6" t="s">
        <v>26</v>
      </c>
      <c r="G141" s="6" t="s">
        <v>347</v>
      </c>
      <c r="H141" s="6" t="s">
        <v>28</v>
      </c>
      <c r="I141" s="7">
        <v>2.4</v>
      </c>
      <c r="J141" s="7">
        <v>0</v>
      </c>
      <c r="K141" s="7">
        <v>0</v>
      </c>
      <c r="L141" s="7">
        <v>0</v>
      </c>
      <c r="M141" s="7">
        <v>0</v>
      </c>
      <c r="N141" s="7">
        <v>2.4</v>
      </c>
      <c r="O141" s="7" t="s">
        <v>28</v>
      </c>
      <c r="P141" s="7">
        <v>1</v>
      </c>
      <c r="Q141" s="7" t="s">
        <v>28</v>
      </c>
      <c r="R141" s="7" t="s">
        <v>26</v>
      </c>
      <c r="S141" s="7" t="s">
        <v>26</v>
      </c>
      <c r="T141" s="7" t="s">
        <v>28</v>
      </c>
      <c r="U141" s="7">
        <v>5</v>
      </c>
      <c r="V141" s="7" t="s">
        <v>34</v>
      </c>
      <c r="W141" s="8" t="s">
        <v>51</v>
      </c>
    </row>
    <row r="142" ht="16.5" spans="1:23">
      <c r="A142" s="6">
        <v>189</v>
      </c>
      <c r="B142" s="6" t="s">
        <v>22</v>
      </c>
      <c r="C142" s="6" t="s">
        <v>43</v>
      </c>
      <c r="D142" s="6" t="s">
        <v>348</v>
      </c>
      <c r="E142" s="6" t="s">
        <v>349</v>
      </c>
      <c r="F142" s="6" t="s">
        <v>26</v>
      </c>
      <c r="G142" s="6" t="s">
        <v>327</v>
      </c>
      <c r="H142" s="6" t="s">
        <v>33</v>
      </c>
      <c r="I142" s="7">
        <v>2.2</v>
      </c>
      <c r="J142" s="7">
        <v>0</v>
      </c>
      <c r="K142" s="7">
        <v>0</v>
      </c>
      <c r="L142" s="7">
        <v>0</v>
      </c>
      <c r="M142" s="7">
        <v>0</v>
      </c>
      <c r="N142" s="7">
        <v>2.2</v>
      </c>
      <c r="O142" s="7" t="s">
        <v>33</v>
      </c>
      <c r="P142" s="7">
        <v>1</v>
      </c>
      <c r="Q142" s="7" t="s">
        <v>33</v>
      </c>
      <c r="R142" s="7" t="s">
        <v>26</v>
      </c>
      <c r="S142" s="7" t="s">
        <v>26</v>
      </c>
      <c r="T142" s="7" t="s">
        <v>33</v>
      </c>
      <c r="U142" s="7">
        <v>10</v>
      </c>
      <c r="V142" s="7" t="s">
        <v>34</v>
      </c>
      <c r="W142" s="8">
        <f xml:space="preserve">VLOOKUP(D142,[1]sheet!$J:$O,6,0)</f>
        <v>40</v>
      </c>
    </row>
    <row r="143" ht="16.5" spans="1:23">
      <c r="A143" s="6">
        <v>164</v>
      </c>
      <c r="B143" s="6" t="s">
        <v>22</v>
      </c>
      <c r="C143" s="6" t="s">
        <v>43</v>
      </c>
      <c r="D143" s="6" t="s">
        <v>350</v>
      </c>
      <c r="E143" s="6" t="s">
        <v>351</v>
      </c>
      <c r="F143" s="6" t="s">
        <v>26</v>
      </c>
      <c r="G143" s="6" t="s">
        <v>352</v>
      </c>
      <c r="H143" s="6" t="s">
        <v>38</v>
      </c>
      <c r="I143" s="7">
        <v>3.8</v>
      </c>
      <c r="J143" s="7">
        <v>0</v>
      </c>
      <c r="K143" s="7">
        <v>0</v>
      </c>
      <c r="L143" s="7">
        <v>0</v>
      </c>
      <c r="M143" s="7">
        <v>0</v>
      </c>
      <c r="N143" s="7">
        <v>3.8</v>
      </c>
      <c r="O143" s="7" t="s">
        <v>38</v>
      </c>
      <c r="P143" s="7">
        <v>1</v>
      </c>
      <c r="Q143" s="7" t="s">
        <v>38</v>
      </c>
      <c r="R143" s="7" t="s">
        <v>39</v>
      </c>
      <c r="S143" s="7" t="s">
        <v>39</v>
      </c>
      <c r="T143" s="7"/>
      <c r="U143" s="7"/>
      <c r="V143" s="7"/>
      <c r="W143" s="8" t="s">
        <v>51</v>
      </c>
    </row>
    <row r="144" ht="16.5" spans="1:23">
      <c r="A144" s="6">
        <v>83</v>
      </c>
      <c r="B144" s="6" t="s">
        <v>22</v>
      </c>
      <c r="C144" s="6" t="s">
        <v>43</v>
      </c>
      <c r="D144" s="6" t="s">
        <v>353</v>
      </c>
      <c r="E144" s="6" t="s">
        <v>354</v>
      </c>
      <c r="F144" s="6" t="s">
        <v>26</v>
      </c>
      <c r="G144" s="6" t="s">
        <v>355</v>
      </c>
      <c r="H144" s="6" t="s">
        <v>38</v>
      </c>
      <c r="I144" s="7">
        <v>4.18</v>
      </c>
      <c r="J144" s="7">
        <v>0</v>
      </c>
      <c r="K144" s="7">
        <v>0</v>
      </c>
      <c r="L144" s="7">
        <v>0</v>
      </c>
      <c r="M144" s="7">
        <v>0</v>
      </c>
      <c r="N144" s="7">
        <v>4.18</v>
      </c>
      <c r="O144" s="7" t="s">
        <v>38</v>
      </c>
      <c r="P144" s="7">
        <v>1</v>
      </c>
      <c r="Q144" s="7" t="s">
        <v>38</v>
      </c>
      <c r="R144" s="7" t="s">
        <v>26</v>
      </c>
      <c r="S144" s="7" t="s">
        <v>26</v>
      </c>
      <c r="T144" s="7" t="s">
        <v>38</v>
      </c>
      <c r="U144" s="7">
        <v>44</v>
      </c>
      <c r="V144" s="7" t="s">
        <v>34</v>
      </c>
      <c r="W144" s="8" t="s">
        <v>51</v>
      </c>
    </row>
    <row r="145" ht="16.5" spans="1:23">
      <c r="A145" s="6">
        <v>255</v>
      </c>
      <c r="B145" s="6" t="s">
        <v>22</v>
      </c>
      <c r="C145" s="6" t="s">
        <v>23</v>
      </c>
      <c r="D145" s="6" t="s">
        <v>356</v>
      </c>
      <c r="E145" s="6" t="s">
        <v>357</v>
      </c>
      <c r="F145" s="6" t="s">
        <v>26</v>
      </c>
      <c r="G145" s="6" t="s">
        <v>358</v>
      </c>
      <c r="H145" s="6" t="s">
        <v>38</v>
      </c>
      <c r="I145" s="7">
        <v>9</v>
      </c>
      <c r="J145" s="7">
        <v>0</v>
      </c>
      <c r="K145" s="7">
        <v>0</v>
      </c>
      <c r="L145" s="7">
        <v>0</v>
      </c>
      <c r="M145" s="7">
        <v>0</v>
      </c>
      <c r="N145" s="7">
        <v>9</v>
      </c>
      <c r="O145" s="7" t="s">
        <v>38</v>
      </c>
      <c r="P145" s="7">
        <v>1</v>
      </c>
      <c r="Q145" s="7" t="s">
        <v>38</v>
      </c>
      <c r="R145" s="7" t="s">
        <v>26</v>
      </c>
      <c r="S145" s="7" t="s">
        <v>26</v>
      </c>
      <c r="T145" s="7" t="s">
        <v>38</v>
      </c>
      <c r="U145" s="7">
        <v>2</v>
      </c>
      <c r="V145" s="7" t="s">
        <v>34</v>
      </c>
      <c r="W145" s="8">
        <f xml:space="preserve">VLOOKUP(D145,[1]sheet!$J:$O,6,0)</f>
        <v>21</v>
      </c>
    </row>
    <row r="146" ht="16.5" spans="1:23">
      <c r="A146" s="6">
        <v>64</v>
      </c>
      <c r="B146" s="6" t="s">
        <v>22</v>
      </c>
      <c r="C146" s="6" t="s">
        <v>55</v>
      </c>
      <c r="D146" s="6" t="s">
        <v>359</v>
      </c>
      <c r="E146" s="6" t="s">
        <v>360</v>
      </c>
      <c r="F146" s="6" t="s">
        <v>26</v>
      </c>
      <c r="G146" s="6" t="s">
        <v>361</v>
      </c>
      <c r="H146" s="6" t="s">
        <v>33</v>
      </c>
      <c r="I146" s="7">
        <v>1</v>
      </c>
      <c r="J146" s="7">
        <v>0</v>
      </c>
      <c r="K146" s="7">
        <v>0</v>
      </c>
      <c r="L146" s="7">
        <v>0</v>
      </c>
      <c r="M146" s="7">
        <v>0</v>
      </c>
      <c r="N146" s="7">
        <v>1</v>
      </c>
      <c r="O146" s="7" t="s">
        <v>33</v>
      </c>
      <c r="P146" s="7">
        <v>1</v>
      </c>
      <c r="Q146" s="7" t="s">
        <v>33</v>
      </c>
      <c r="R146" s="7" t="s">
        <v>26</v>
      </c>
      <c r="S146" s="7" t="s">
        <v>26</v>
      </c>
      <c r="T146" s="7" t="s">
        <v>33</v>
      </c>
      <c r="U146" s="7">
        <v>132</v>
      </c>
      <c r="V146" s="7" t="s">
        <v>34</v>
      </c>
      <c r="W146" s="8" t="s">
        <v>29</v>
      </c>
    </row>
    <row r="147" ht="16.5" spans="1:23">
      <c r="A147" s="6">
        <v>59</v>
      </c>
      <c r="B147" s="6" t="s">
        <v>22</v>
      </c>
      <c r="C147" s="6" t="s">
        <v>55</v>
      </c>
      <c r="D147" s="6" t="s">
        <v>362</v>
      </c>
      <c r="E147" s="6" t="s">
        <v>363</v>
      </c>
      <c r="F147" s="6" t="s">
        <v>26</v>
      </c>
      <c r="G147" s="6" t="s">
        <v>316</v>
      </c>
      <c r="H147" s="6" t="s">
        <v>33</v>
      </c>
      <c r="I147" s="7">
        <v>1.2</v>
      </c>
      <c r="J147" s="7">
        <v>0</v>
      </c>
      <c r="K147" s="7">
        <v>0</v>
      </c>
      <c r="L147" s="7">
        <v>0</v>
      </c>
      <c r="M147" s="7">
        <v>0</v>
      </c>
      <c r="N147" s="7">
        <v>1.2</v>
      </c>
      <c r="O147" s="7" t="s">
        <v>33</v>
      </c>
      <c r="P147" s="7">
        <v>1</v>
      </c>
      <c r="Q147" s="7" t="s">
        <v>33</v>
      </c>
      <c r="R147" s="7" t="s">
        <v>39</v>
      </c>
      <c r="S147" s="7" t="s">
        <v>39</v>
      </c>
      <c r="T147" s="7"/>
      <c r="U147" s="7"/>
      <c r="V147" s="7"/>
      <c r="W147" s="8" t="s">
        <v>51</v>
      </c>
    </row>
    <row r="148" ht="16.5" spans="1:23">
      <c r="A148" s="6">
        <v>60</v>
      </c>
      <c r="B148" s="6" t="s">
        <v>22</v>
      </c>
      <c r="C148" s="6" t="s">
        <v>55</v>
      </c>
      <c r="D148" s="6" t="s">
        <v>364</v>
      </c>
      <c r="E148" s="6" t="s">
        <v>365</v>
      </c>
      <c r="F148" s="6" t="s">
        <v>26</v>
      </c>
      <c r="G148" s="6" t="s">
        <v>366</v>
      </c>
      <c r="H148" s="6" t="s">
        <v>33</v>
      </c>
      <c r="I148" s="7">
        <v>1</v>
      </c>
      <c r="J148" s="7">
        <v>0</v>
      </c>
      <c r="K148" s="7">
        <v>0</v>
      </c>
      <c r="L148" s="7">
        <v>0</v>
      </c>
      <c r="M148" s="7">
        <v>0</v>
      </c>
      <c r="N148" s="7">
        <v>1</v>
      </c>
      <c r="O148" s="7" t="s">
        <v>33</v>
      </c>
      <c r="P148" s="7">
        <v>1</v>
      </c>
      <c r="Q148" s="7" t="s">
        <v>33</v>
      </c>
      <c r="R148" s="7" t="s">
        <v>26</v>
      </c>
      <c r="S148" s="7" t="s">
        <v>26</v>
      </c>
      <c r="T148" s="7" t="s">
        <v>33</v>
      </c>
      <c r="U148" s="7">
        <v>5</v>
      </c>
      <c r="V148" s="7" t="s">
        <v>34</v>
      </c>
      <c r="W148" s="8" t="s">
        <v>29</v>
      </c>
    </row>
    <row r="149" ht="16.5" spans="1:23">
      <c r="A149" s="6">
        <v>63</v>
      </c>
      <c r="B149" s="6" t="s">
        <v>22</v>
      </c>
      <c r="C149" s="6" t="s">
        <v>55</v>
      </c>
      <c r="D149" s="6" t="s">
        <v>367</v>
      </c>
      <c r="E149" s="6" t="s">
        <v>368</v>
      </c>
      <c r="F149" s="6" t="s">
        <v>26</v>
      </c>
      <c r="G149" s="6" t="s">
        <v>369</v>
      </c>
      <c r="H149" s="6" t="s">
        <v>33</v>
      </c>
      <c r="I149" s="7">
        <v>1</v>
      </c>
      <c r="J149" s="7">
        <v>0</v>
      </c>
      <c r="K149" s="7">
        <v>0</v>
      </c>
      <c r="L149" s="7">
        <v>0</v>
      </c>
      <c r="M149" s="7">
        <v>0</v>
      </c>
      <c r="N149" s="7">
        <v>1</v>
      </c>
      <c r="O149" s="7" t="s">
        <v>33</v>
      </c>
      <c r="P149" s="7">
        <v>1</v>
      </c>
      <c r="Q149" s="7" t="s">
        <v>33</v>
      </c>
      <c r="R149" s="7" t="s">
        <v>26</v>
      </c>
      <c r="S149" s="7" t="s">
        <v>26</v>
      </c>
      <c r="T149" s="7" t="s">
        <v>33</v>
      </c>
      <c r="U149" s="7">
        <v>210</v>
      </c>
      <c r="V149" s="7" t="s">
        <v>34</v>
      </c>
      <c r="W149" s="8" t="s">
        <v>29</v>
      </c>
    </row>
    <row r="150" ht="16.5" spans="1:23">
      <c r="A150" s="6">
        <v>65</v>
      </c>
      <c r="B150" s="6" t="s">
        <v>22</v>
      </c>
      <c r="C150" s="6" t="s">
        <v>55</v>
      </c>
      <c r="D150" s="6" t="s">
        <v>370</v>
      </c>
      <c r="E150" s="6" t="s">
        <v>371</v>
      </c>
      <c r="F150" s="6" t="s">
        <v>26</v>
      </c>
      <c r="G150" s="6" t="s">
        <v>372</v>
      </c>
      <c r="H150" s="6" t="s">
        <v>33</v>
      </c>
      <c r="I150" s="7">
        <v>1</v>
      </c>
      <c r="J150" s="7">
        <v>0</v>
      </c>
      <c r="K150" s="7">
        <v>0</v>
      </c>
      <c r="L150" s="7">
        <v>0</v>
      </c>
      <c r="M150" s="7">
        <v>0</v>
      </c>
      <c r="N150" s="7">
        <v>1</v>
      </c>
      <c r="O150" s="7" t="s">
        <v>33</v>
      </c>
      <c r="P150" s="7">
        <v>1</v>
      </c>
      <c r="Q150" s="7" t="s">
        <v>33</v>
      </c>
      <c r="R150" s="7" t="s">
        <v>26</v>
      </c>
      <c r="S150" s="7" t="s">
        <v>26</v>
      </c>
      <c r="T150" s="7" t="s">
        <v>33</v>
      </c>
      <c r="U150" s="7">
        <v>20</v>
      </c>
      <c r="V150" s="7" t="s">
        <v>34</v>
      </c>
      <c r="W150" s="8" t="s">
        <v>29</v>
      </c>
    </row>
    <row r="151" ht="16.5" spans="1:23">
      <c r="A151" s="6">
        <v>251</v>
      </c>
      <c r="B151" s="6" t="s">
        <v>22</v>
      </c>
      <c r="C151" s="6" t="s">
        <v>23</v>
      </c>
      <c r="D151" s="6" t="s">
        <v>373</v>
      </c>
      <c r="E151" s="6" t="s">
        <v>374</v>
      </c>
      <c r="F151" s="6" t="s">
        <v>26</v>
      </c>
      <c r="G151" s="6" t="s">
        <v>375</v>
      </c>
      <c r="H151" s="6" t="s">
        <v>33</v>
      </c>
      <c r="I151" s="7">
        <v>0.65</v>
      </c>
      <c r="J151" s="7">
        <v>0</v>
      </c>
      <c r="K151" s="7">
        <v>0</v>
      </c>
      <c r="L151" s="7">
        <v>0</v>
      </c>
      <c r="M151" s="7">
        <v>0</v>
      </c>
      <c r="N151" s="7">
        <v>0.65</v>
      </c>
      <c r="O151" s="7" t="s">
        <v>33</v>
      </c>
      <c r="P151" s="7">
        <v>1</v>
      </c>
      <c r="Q151" s="7" t="s">
        <v>33</v>
      </c>
      <c r="R151" s="7" t="s">
        <v>26</v>
      </c>
      <c r="S151" s="7" t="s">
        <v>26</v>
      </c>
      <c r="T151" s="7" t="s">
        <v>33</v>
      </c>
      <c r="U151" s="7">
        <v>240</v>
      </c>
      <c r="V151" s="7" t="s">
        <v>34</v>
      </c>
      <c r="W151" s="8" t="s">
        <v>29</v>
      </c>
    </row>
    <row r="152" ht="16.5" spans="1:23">
      <c r="A152" s="6">
        <v>62</v>
      </c>
      <c r="B152" s="6" t="s">
        <v>22</v>
      </c>
      <c r="C152" s="6" t="s">
        <v>55</v>
      </c>
      <c r="D152" s="6" t="s">
        <v>376</v>
      </c>
      <c r="E152" s="6" t="s">
        <v>377</v>
      </c>
      <c r="F152" s="6" t="s">
        <v>26</v>
      </c>
      <c r="G152" s="6" t="s">
        <v>378</v>
      </c>
      <c r="H152" s="6" t="s">
        <v>33</v>
      </c>
      <c r="I152" s="7">
        <v>1</v>
      </c>
      <c r="J152" s="7">
        <v>0</v>
      </c>
      <c r="K152" s="7">
        <v>0</v>
      </c>
      <c r="L152" s="7">
        <v>0</v>
      </c>
      <c r="M152" s="7">
        <v>0</v>
      </c>
      <c r="N152" s="7">
        <v>1</v>
      </c>
      <c r="O152" s="7" t="s">
        <v>33</v>
      </c>
      <c r="P152" s="7">
        <v>1</v>
      </c>
      <c r="Q152" s="7" t="s">
        <v>33</v>
      </c>
      <c r="R152" s="7" t="s">
        <v>26</v>
      </c>
      <c r="S152" s="7" t="s">
        <v>26</v>
      </c>
      <c r="T152" s="7" t="s">
        <v>33</v>
      </c>
      <c r="U152" s="7">
        <v>149</v>
      </c>
      <c r="V152" s="7" t="s">
        <v>34</v>
      </c>
      <c r="W152" s="8" t="s">
        <v>29</v>
      </c>
    </row>
    <row r="153" ht="16.5" spans="1:23">
      <c r="A153" s="6">
        <v>61</v>
      </c>
      <c r="B153" s="6" t="s">
        <v>22</v>
      </c>
      <c r="C153" s="6" t="s">
        <v>55</v>
      </c>
      <c r="D153" s="6" t="s">
        <v>379</v>
      </c>
      <c r="E153" s="6" t="s">
        <v>380</v>
      </c>
      <c r="F153" s="6" t="s">
        <v>26</v>
      </c>
      <c r="G153" s="6" t="s">
        <v>381</v>
      </c>
      <c r="H153" s="6" t="s">
        <v>33</v>
      </c>
      <c r="I153" s="7">
        <v>1</v>
      </c>
      <c r="J153" s="7">
        <v>0</v>
      </c>
      <c r="K153" s="7">
        <v>0</v>
      </c>
      <c r="L153" s="7">
        <v>0</v>
      </c>
      <c r="M153" s="7">
        <v>0</v>
      </c>
      <c r="N153" s="7">
        <v>1</v>
      </c>
      <c r="O153" s="7" t="s">
        <v>33</v>
      </c>
      <c r="P153" s="7">
        <v>1</v>
      </c>
      <c r="Q153" s="7" t="s">
        <v>33</v>
      </c>
      <c r="R153" s="7" t="s">
        <v>26</v>
      </c>
      <c r="S153" s="7" t="s">
        <v>26</v>
      </c>
      <c r="T153" s="7" t="s">
        <v>33</v>
      </c>
      <c r="U153" s="7">
        <v>150</v>
      </c>
      <c r="V153" s="7" t="s">
        <v>34</v>
      </c>
      <c r="W153" s="8" t="s">
        <v>29</v>
      </c>
    </row>
    <row r="154" ht="16.5" spans="1:23">
      <c r="A154" s="6">
        <v>245</v>
      </c>
      <c r="B154" s="6" t="s">
        <v>22</v>
      </c>
      <c r="C154" s="6" t="s">
        <v>23</v>
      </c>
      <c r="D154" s="6" t="s">
        <v>382</v>
      </c>
      <c r="E154" s="6" t="s">
        <v>383</v>
      </c>
      <c r="F154" s="6" t="s">
        <v>26</v>
      </c>
      <c r="G154" s="6" t="s">
        <v>337</v>
      </c>
      <c r="H154" s="6" t="s">
        <v>33</v>
      </c>
      <c r="I154" s="7">
        <v>24.5</v>
      </c>
      <c r="J154" s="7">
        <v>0</v>
      </c>
      <c r="K154" s="7">
        <v>0</v>
      </c>
      <c r="L154" s="7">
        <v>0</v>
      </c>
      <c r="M154" s="7">
        <v>0</v>
      </c>
      <c r="N154" s="7">
        <v>24.5</v>
      </c>
      <c r="O154" s="7" t="s">
        <v>33</v>
      </c>
      <c r="P154" s="7">
        <v>1</v>
      </c>
      <c r="Q154" s="7" t="s">
        <v>33</v>
      </c>
      <c r="R154" s="7" t="s">
        <v>26</v>
      </c>
      <c r="S154" s="7" t="s">
        <v>26</v>
      </c>
      <c r="T154" s="7" t="s">
        <v>33</v>
      </c>
      <c r="U154" s="7">
        <v>288</v>
      </c>
      <c r="V154" s="7" t="s">
        <v>34</v>
      </c>
      <c r="W154" s="8">
        <f xml:space="preserve">VLOOKUP(D154,[1]sheet!$J:$O,6,0)</f>
        <v>40</v>
      </c>
    </row>
    <row r="155" ht="16.5" spans="1:23">
      <c r="A155" s="6">
        <v>257</v>
      </c>
      <c r="B155" s="6" t="s">
        <v>22</v>
      </c>
      <c r="C155" s="6" t="s">
        <v>23</v>
      </c>
      <c r="D155" s="6" t="s">
        <v>384</v>
      </c>
      <c r="E155" s="6" t="s">
        <v>385</v>
      </c>
      <c r="F155" s="6" t="s">
        <v>26</v>
      </c>
      <c r="G155" s="6" t="s">
        <v>296</v>
      </c>
      <c r="H155" s="6" t="s">
        <v>33</v>
      </c>
      <c r="I155" s="7">
        <v>10.2</v>
      </c>
      <c r="J155" s="7">
        <v>0</v>
      </c>
      <c r="K155" s="7">
        <v>0</v>
      </c>
      <c r="L155" s="7">
        <v>0</v>
      </c>
      <c r="M155" s="7">
        <v>0</v>
      </c>
      <c r="N155" s="7">
        <v>10.2</v>
      </c>
      <c r="O155" s="7" t="s">
        <v>33</v>
      </c>
      <c r="P155" s="7">
        <v>1</v>
      </c>
      <c r="Q155" s="7" t="s">
        <v>33</v>
      </c>
      <c r="R155" s="7" t="s">
        <v>26</v>
      </c>
      <c r="S155" s="7" t="s">
        <v>26</v>
      </c>
      <c r="T155" s="7" t="s">
        <v>33</v>
      </c>
      <c r="U155" s="7">
        <v>6</v>
      </c>
      <c r="V155" s="7" t="s">
        <v>34</v>
      </c>
      <c r="W155" s="8">
        <f xml:space="preserve">VLOOKUP(D155,[1]sheet!$J:$O,6,0)</f>
        <v>25</v>
      </c>
    </row>
    <row r="156" ht="16.5" spans="1:23">
      <c r="A156" s="6">
        <v>273</v>
      </c>
      <c r="B156" s="6" t="s">
        <v>22</v>
      </c>
      <c r="C156" s="6" t="s">
        <v>23</v>
      </c>
      <c r="D156" s="6" t="s">
        <v>386</v>
      </c>
      <c r="E156" s="6" t="s">
        <v>387</v>
      </c>
      <c r="F156" s="6" t="s">
        <v>26</v>
      </c>
      <c r="G156" s="6" t="s">
        <v>337</v>
      </c>
      <c r="H156" s="6" t="s">
        <v>33</v>
      </c>
      <c r="I156" s="7">
        <v>20</v>
      </c>
      <c r="J156" s="7">
        <v>0</v>
      </c>
      <c r="K156" s="7">
        <v>0</v>
      </c>
      <c r="L156" s="7">
        <v>0</v>
      </c>
      <c r="M156" s="7">
        <v>0</v>
      </c>
      <c r="N156" s="7">
        <v>20</v>
      </c>
      <c r="O156" s="7" t="s">
        <v>33</v>
      </c>
      <c r="P156" s="7">
        <v>1</v>
      </c>
      <c r="Q156" s="7" t="s">
        <v>33</v>
      </c>
      <c r="R156" s="7" t="s">
        <v>26</v>
      </c>
      <c r="S156" s="7" t="s">
        <v>26</v>
      </c>
      <c r="T156" s="7" t="s">
        <v>33</v>
      </c>
      <c r="U156" s="7">
        <v>288</v>
      </c>
      <c r="V156" s="7" t="s">
        <v>34</v>
      </c>
      <c r="W156" s="8">
        <f xml:space="preserve">VLOOKUP(D156,[1]sheet!$J:$O,6,0)</f>
        <v>32</v>
      </c>
    </row>
    <row r="157" ht="16.5" spans="1:23">
      <c r="A157" s="6">
        <v>252</v>
      </c>
      <c r="B157" s="6" t="s">
        <v>22</v>
      </c>
      <c r="C157" s="6" t="s">
        <v>23</v>
      </c>
      <c r="D157" s="6" t="s">
        <v>388</v>
      </c>
      <c r="E157" s="6" t="s">
        <v>389</v>
      </c>
      <c r="F157" s="6" t="s">
        <v>26</v>
      </c>
      <c r="G157" s="6" t="s">
        <v>319</v>
      </c>
      <c r="H157" s="6" t="s">
        <v>328</v>
      </c>
      <c r="I157" s="7">
        <v>14.05</v>
      </c>
      <c r="J157" s="7">
        <v>0</v>
      </c>
      <c r="K157" s="7">
        <v>0</v>
      </c>
      <c r="L157" s="7">
        <v>0</v>
      </c>
      <c r="M157" s="7">
        <v>0</v>
      </c>
      <c r="N157" s="7">
        <v>14.05</v>
      </c>
      <c r="O157" s="7" t="s">
        <v>328</v>
      </c>
      <c r="P157" s="7">
        <v>1</v>
      </c>
      <c r="Q157" s="7" t="s">
        <v>328</v>
      </c>
      <c r="R157" s="7" t="s">
        <v>26</v>
      </c>
      <c r="S157" s="7" t="s">
        <v>26</v>
      </c>
      <c r="T157" s="7" t="s">
        <v>328</v>
      </c>
      <c r="U157" s="7">
        <v>30</v>
      </c>
      <c r="V157" s="7" t="s">
        <v>34</v>
      </c>
      <c r="W157" s="8" t="s">
        <v>29</v>
      </c>
    </row>
    <row r="158" ht="16.5" spans="1:23">
      <c r="A158" s="6">
        <v>244</v>
      </c>
      <c r="B158" s="6" t="s">
        <v>22</v>
      </c>
      <c r="C158" s="6" t="s">
        <v>23</v>
      </c>
      <c r="D158" s="6" t="s">
        <v>390</v>
      </c>
      <c r="E158" s="6" t="s">
        <v>391</v>
      </c>
      <c r="F158" s="6" t="s">
        <v>26</v>
      </c>
      <c r="G158" s="6" t="s">
        <v>171</v>
      </c>
      <c r="H158" s="6" t="s">
        <v>33</v>
      </c>
      <c r="I158" s="7">
        <v>10</v>
      </c>
      <c r="J158" s="7">
        <v>0</v>
      </c>
      <c r="K158" s="7">
        <v>0</v>
      </c>
      <c r="L158" s="7">
        <v>0</v>
      </c>
      <c r="M158" s="7">
        <v>0</v>
      </c>
      <c r="N158" s="7">
        <v>10</v>
      </c>
      <c r="O158" s="7" t="s">
        <v>33</v>
      </c>
      <c r="P158" s="7">
        <v>1</v>
      </c>
      <c r="Q158" s="7" t="s">
        <v>33</v>
      </c>
      <c r="R158" s="7" t="s">
        <v>26</v>
      </c>
      <c r="S158" s="7" t="s">
        <v>26</v>
      </c>
      <c r="T158" s="7" t="s">
        <v>33</v>
      </c>
      <c r="U158" s="7">
        <v>12</v>
      </c>
      <c r="V158" s="7" t="s">
        <v>34</v>
      </c>
      <c r="W158" s="8">
        <f xml:space="preserve">VLOOKUP(D158,[1]sheet!$J:$O,6,0)</f>
        <v>12</v>
      </c>
    </row>
    <row r="159" ht="16.5" spans="1:23">
      <c r="A159" s="6">
        <v>79</v>
      </c>
      <c r="B159" s="6" t="s">
        <v>22</v>
      </c>
      <c r="C159" s="6" t="s">
        <v>43</v>
      </c>
      <c r="D159" s="6" t="s">
        <v>392</v>
      </c>
      <c r="E159" s="6" t="s">
        <v>393</v>
      </c>
      <c r="F159" s="6" t="s">
        <v>26</v>
      </c>
      <c r="G159" s="6" t="s">
        <v>394</v>
      </c>
      <c r="H159" s="6" t="s">
        <v>38</v>
      </c>
      <c r="I159" s="7">
        <v>0.9</v>
      </c>
      <c r="J159" s="7">
        <v>0</v>
      </c>
      <c r="K159" s="7">
        <v>0</v>
      </c>
      <c r="L159" s="7">
        <v>0</v>
      </c>
      <c r="M159" s="7">
        <v>0</v>
      </c>
      <c r="N159" s="7">
        <v>0.9</v>
      </c>
      <c r="O159" s="7" t="s">
        <v>38</v>
      </c>
      <c r="P159" s="7">
        <v>1</v>
      </c>
      <c r="Q159" s="7" t="s">
        <v>38</v>
      </c>
      <c r="R159" s="7" t="s">
        <v>26</v>
      </c>
      <c r="S159" s="7" t="s">
        <v>26</v>
      </c>
      <c r="T159" s="7" t="s">
        <v>38</v>
      </c>
      <c r="U159" s="7">
        <v>5</v>
      </c>
      <c r="V159" s="7" t="s">
        <v>34</v>
      </c>
      <c r="W159" s="8">
        <f xml:space="preserve">VLOOKUP(D159,[1]sheet!$J:$O,6,0)</f>
        <v>12</v>
      </c>
    </row>
    <row r="160" ht="16.5" spans="1:23">
      <c r="A160" s="6">
        <v>258</v>
      </c>
      <c r="B160" s="6" t="s">
        <v>22</v>
      </c>
      <c r="C160" s="6" t="s">
        <v>23</v>
      </c>
      <c r="D160" s="6" t="s">
        <v>395</v>
      </c>
      <c r="E160" s="6" t="s">
        <v>396</v>
      </c>
      <c r="F160" s="6" t="s">
        <v>26</v>
      </c>
      <c r="G160" s="6"/>
      <c r="H160" s="6" t="s">
        <v>33</v>
      </c>
      <c r="I160" s="7">
        <v>4.5</v>
      </c>
      <c r="J160" s="7">
        <v>0</v>
      </c>
      <c r="K160" s="7">
        <v>0</v>
      </c>
      <c r="L160" s="7">
        <v>0</v>
      </c>
      <c r="M160" s="7">
        <v>0</v>
      </c>
      <c r="N160" s="7">
        <v>4.5</v>
      </c>
      <c r="O160" s="7" t="s">
        <v>33</v>
      </c>
      <c r="P160" s="7">
        <v>1</v>
      </c>
      <c r="Q160" s="7" t="s">
        <v>33</v>
      </c>
      <c r="R160" s="7" t="s">
        <v>26</v>
      </c>
      <c r="S160" s="7" t="s">
        <v>26</v>
      </c>
      <c r="T160" s="7" t="s">
        <v>33</v>
      </c>
      <c r="U160" s="7">
        <v>72</v>
      </c>
      <c r="V160" s="7" t="s">
        <v>34</v>
      </c>
      <c r="W160" s="8">
        <f xml:space="preserve">VLOOKUP(D160,[1]sheet!$J:$O,6,0)</f>
        <v>40</v>
      </c>
    </row>
    <row r="161" ht="16.5" spans="1:23">
      <c r="A161" s="6">
        <v>66</v>
      </c>
      <c r="B161" s="6" t="s">
        <v>22</v>
      </c>
      <c r="C161" s="6" t="s">
        <v>55</v>
      </c>
      <c r="D161" s="6" t="s">
        <v>397</v>
      </c>
      <c r="E161" s="6" t="s">
        <v>398</v>
      </c>
      <c r="F161" s="6" t="s">
        <v>26</v>
      </c>
      <c r="G161" s="6" t="s">
        <v>399</v>
      </c>
      <c r="H161" s="6" t="s">
        <v>47</v>
      </c>
      <c r="I161" s="7">
        <v>9</v>
      </c>
      <c r="J161" s="7">
        <v>0</v>
      </c>
      <c r="K161" s="7">
        <v>0</v>
      </c>
      <c r="L161" s="7">
        <v>0</v>
      </c>
      <c r="M161" s="7">
        <v>0</v>
      </c>
      <c r="N161" s="7">
        <v>9</v>
      </c>
      <c r="O161" s="7" t="s">
        <v>47</v>
      </c>
      <c r="P161" s="7">
        <v>1</v>
      </c>
      <c r="Q161" s="7" t="s">
        <v>47</v>
      </c>
      <c r="R161" s="7" t="s">
        <v>26</v>
      </c>
      <c r="S161" s="7" t="s">
        <v>26</v>
      </c>
      <c r="T161" s="7" t="s">
        <v>47</v>
      </c>
      <c r="U161" s="7">
        <v>6</v>
      </c>
      <c r="V161" s="7" t="s">
        <v>34</v>
      </c>
      <c r="W161" s="8" t="s">
        <v>29</v>
      </c>
    </row>
    <row r="162" ht="16.5" spans="1:23">
      <c r="A162" s="6">
        <v>172</v>
      </c>
      <c r="B162" s="6" t="s">
        <v>22</v>
      </c>
      <c r="C162" s="6" t="s">
        <v>43</v>
      </c>
      <c r="D162" s="6" t="s">
        <v>400</v>
      </c>
      <c r="E162" s="6" t="s">
        <v>401</v>
      </c>
      <c r="F162" s="6" t="s">
        <v>26</v>
      </c>
      <c r="G162" s="6" t="s">
        <v>402</v>
      </c>
      <c r="H162" s="6" t="s">
        <v>33</v>
      </c>
      <c r="I162" s="7">
        <v>13</v>
      </c>
      <c r="J162" s="7">
        <v>0</v>
      </c>
      <c r="K162" s="7">
        <v>0</v>
      </c>
      <c r="L162" s="7">
        <v>0</v>
      </c>
      <c r="M162" s="7">
        <v>0</v>
      </c>
      <c r="N162" s="7">
        <v>13</v>
      </c>
      <c r="O162" s="7" t="s">
        <v>33</v>
      </c>
      <c r="P162" s="7">
        <v>1</v>
      </c>
      <c r="Q162" s="7" t="s">
        <v>33</v>
      </c>
      <c r="R162" s="7" t="s">
        <v>26</v>
      </c>
      <c r="S162" s="7" t="s">
        <v>26</v>
      </c>
      <c r="T162" s="7" t="s">
        <v>33</v>
      </c>
      <c r="U162" s="7">
        <v>16</v>
      </c>
      <c r="V162" s="7" t="s">
        <v>34</v>
      </c>
      <c r="W162" s="8" t="s">
        <v>29</v>
      </c>
    </row>
  </sheetData>
  <autoFilter xmlns:etc="http://www.wps.cn/officeDocument/2017/etCustomData" ref="A1:W162" etc:filterBottomFollowUsedRange="0">
    <filterColumn colId="9">
      <customFilters>
        <customFilter operator="equal" val="0"/>
      </customFilters>
    </filterColumn>
    <sortState ref="A1:W162">
      <sortCondition ref="E1"/>
    </sortState>
    <extLst/>
  </autoFilter>
  <conditionalFormatting sqref="D$1:D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[][]$_$匡匡</cp:lastModifiedBy>
  <dcterms:created xsi:type="dcterms:W3CDTF">2026-10-15T09:02:00Z</dcterms:created>
  <dcterms:modified xsi:type="dcterms:W3CDTF">2026-10-21T03:19:59Z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0B06AAE947174E25A238CD16A4FAF157_12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